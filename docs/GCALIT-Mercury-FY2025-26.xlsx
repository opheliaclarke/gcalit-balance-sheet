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onthly" sheetId="2" r:id="rId2"/>
    <sheet name="Ledger" sheetId="3" r:id="rId3"/>
    <sheet name="Cards" sheetId="4" r:id="rId4"/>
    <sheet name="Reconciliation" sheetId="5" r:id="rId5"/>
    <sheet name="Accounts" sheetId="6" r:id="rId6"/>
  </sheets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3">
    <font>
      <sz val="11"/>
      <name val="Calibri"/>
    </font>
    <font>
      <b/>
      <sz val="11"/>
      <name val="Calibri"/>
    </font>
    <font>
      <b/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164" fontId="0" fillId="0" borderId="0" xfId="0" applyNumberFormat="1"/>
    <xf numFmtId="164" fontId="1" fillId="0" borderId="0" xfId="0" applyNumberFormat="1"/>
    <xf numFmtId="0" fontId="2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0.54" customWidth="1"/>
    <col min="2" max="2" width="56.76" customWidth="1"/>
    <col min="3" max="3" width="14.86" customWidth="1"/>
    <col min="4" max="4" width="18.92" customWidth="1"/>
  </cols>
  <sheetData>
    <row r="1">
      <c r="A1" s="1" t="inlineStr">
        <is>
          <t xml:space="preserve">Line</t>
        </is>
      </c>
      <c r="B1" s="1" t="inlineStr">
        <is>
          <t xml:space="preserve">Detail</t>
        </is>
      </c>
      <c r="C1" s="1" t="inlineStr">
        <is>
          <t xml:space="preserve">Transactions</t>
        </is>
      </c>
      <c r="D1" s="1" t="inlineStr">
        <is>
          <t xml:space="preserve">Amount (USD)</t>
        </is>
      </c>
    </row>
    <row r="2">
      <c r="A2" s="1" t="inlineStr">
        <is>
          <t xml:space="preserve">OPENING BALANCE — 1 April 2025</t>
        </is>
      </c>
      <c r="B2" s="1" t="inlineStr">
        <is>
          <t xml:space="preserve">Per Mercury statement for period 01–31 Mar 2025</t>
        </is>
      </c>
      <c r="D2" s="3">
        <v>16985.4</v>
      </c>
    </row>
    <row r="3"/>
    <row r="4">
      <c r="A4" s="0" t="inlineStr">
        <is>
          <t xml:space="preserve">MONEY IN</t>
        </is>
      </c>
    </row>
    <row r="5">
      <c r="A5" s="0" t="inlineStr">
        <is>
          <t xml:space="preserve">  Incoming wires and deposits</t>
        </is>
      </c>
      <c r="B5" s="0" t="inlineStr">
        <is>
          <t xml:space="preserve">Client and network receipts</t>
        </is>
      </c>
      <c r="C5" s="2">
        <v>13</v>
      </c>
      <c r="D5" s="2">
        <v>32288.62</v>
      </c>
    </row>
    <row r="6">
      <c r="A6" s="0" t="inlineStr">
        <is>
          <t xml:space="preserve">  Other incoming (ACH credits)</t>
        </is>
      </c>
      <c r="B6" s="0" t="inlineStr">
        <is>
          <t xml:space="preserve">ACH credits Mercury files as kind 'other'</t>
        </is>
      </c>
      <c r="C6" s="2">
        <v>8</v>
      </c>
      <c r="D6" s="2">
        <v>967.62</v>
      </c>
    </row>
    <row r="7">
      <c r="A7" s="0" t="inlineStr">
        <is>
          <t xml:space="preserve">  Mercury IO card cashback</t>
        </is>
      </c>
      <c r="B7" s="0" t="inlineStr">
        <is>
          <t xml:space="preserve">Cashback credited to the checking account</t>
        </is>
      </c>
      <c r="C7" s="2">
        <v>3</v>
      </c>
      <c r="D7" s="2">
        <v>7.82</v>
      </c>
    </row>
    <row r="8">
      <c r="A8" s="1" t="inlineStr">
        <is>
          <t xml:space="preserve">TOTAL MONEY IN</t>
        </is>
      </c>
      <c r="C8" s="3">
        <f>SUM(C5:C7)</f>
        <v>24</v>
      </c>
      <c r="D8" s="3">
        <f>SUM(D5:D7)</f>
        <v>33264.06</v>
      </c>
    </row>
    <row r="9"/>
    <row r="10">
      <c r="A10" s="0" t="inlineStr">
        <is>
          <t xml:space="preserve">MONEY OUT</t>
        </is>
      </c>
    </row>
    <row r="11">
      <c r="A11" s="0" t="inlineStr">
        <is>
          <t xml:space="preserve">  Outgoing payments and wires</t>
        </is>
      </c>
      <c r="B11" s="0" t="inlineStr">
        <is>
          <t xml:space="preserve">Send Money payments, wires and wire fees</t>
        </is>
      </c>
      <c r="C11" s="2">
        <v>10</v>
      </c>
      <c r="D11" s="2">
        <v>-18446.86</v>
      </c>
    </row>
    <row r="12">
      <c r="A12" s="0" t="inlineStr">
        <is>
          <t xml:space="preserve">  Other outgoing (ACH debits)</t>
        </is>
      </c>
      <c r="B12" s="0" t="inlineStr">
        <is>
          <t xml:space="preserve">ACH debits Mercury files as kind 'other'</t>
        </is>
      </c>
      <c r="C12" s="2">
        <v>1</v>
      </c>
      <c r="D12" s="2">
        <v>-859.57</v>
      </c>
    </row>
    <row r="13">
      <c r="A13" s="0" t="inlineStr">
        <is>
          <t xml:space="preserve">  Debit-card spend</t>
        </is>
      </c>
      <c r="B13" s="0" t="inlineStr">
        <is>
          <t xml:space="preserve">Debit-card purchases hitting the account directly</t>
        </is>
      </c>
      <c r="C13" s="2">
        <v>0</v>
      </c>
      <c r="D13" s="2">
        <v>0.0</v>
      </c>
    </row>
    <row r="14">
      <c r="A14" s="0" t="inlineStr">
        <is>
          <t xml:space="preserve">  Sent to Mercury IO card (Autopay)</t>
        </is>
      </c>
      <c r="B14" s="0" t="inlineStr">
        <is>
          <t xml:space="preserve">Cash leaving the account to pay the credit card</t>
        </is>
      </c>
      <c r="C14" s="2">
        <v>3</v>
      </c>
      <c r="D14" s="2">
        <v>-522.15</v>
      </c>
    </row>
    <row r="15">
      <c r="A15" s="0" t="inlineStr">
        <is>
          <t xml:space="preserve">  Reversed back from card</t>
        </is>
      </c>
      <c r="B15" s="0" t="inlineStr">
        <is>
          <t xml:space="preserve">Card payments returned to the account</t>
        </is>
      </c>
      <c r="C15" s="2">
        <v>0</v>
      </c>
      <c r="D15" s="2">
        <v>0.0</v>
      </c>
    </row>
    <row r="16">
      <c r="A16" s="1" t="inlineStr">
        <is>
          <t xml:space="preserve">TOTAL MONEY OUT</t>
        </is>
      </c>
      <c r="B16" s="1" t="inlineStr">
        <is>
          <t xml:space="preserve">Every dollar that left the bank, card payments included</t>
        </is>
      </c>
      <c r="C16" s="3">
        <f>SUM(C11:C15)</f>
        <v>14</v>
      </c>
      <c r="D16" s="3">
        <f>SUM(D11:D15)</f>
        <v>-19828.58</v>
      </c>
    </row>
    <row r="17">
      <c r="A17" s="0" t="inlineStr">
        <is>
          <t xml:space="preserve">    of which expenses</t>
        </is>
      </c>
      <c r="B17" s="0" t="inlineStr">
        <is>
          <t xml:space="preserve">Paid to suppliers, platforms and services</t>
        </is>
      </c>
      <c r="C17" s="2">
        <f>SUM(C11:C13)</f>
        <v>11</v>
      </c>
      <c r="D17" s="2">
        <f>SUM(D11:D13)</f>
        <v>-19306.43</v>
      </c>
    </row>
    <row r="18">
      <c r="A18" s="0" t="inlineStr">
        <is>
          <t xml:space="preserve">    of which sent to card</t>
        </is>
      </c>
      <c r="B18" s="0" t="inlineStr">
        <is>
          <t xml:space="preserve">Moved to the Mercury IO card, then spent from it</t>
        </is>
      </c>
      <c r="C18" s="2">
        <f>SUM(C14:C15)</f>
        <v>3</v>
      </c>
      <c r="D18" s="2">
        <f>SUM(D14:D15)</f>
        <v>-522.15</v>
      </c>
    </row>
    <row r="19"/>
    <row r="20">
      <c r="A20" s="1" t="inlineStr">
        <is>
          <t xml:space="preserve">NET CHANGE FOR THE YEAR</t>
        </is>
      </c>
      <c r="B20" s="1" t="inlineStr">
        <is>
          <t xml:space="preserve">Total money in less total money out</t>
        </is>
      </c>
      <c r="C20" s="3">
        <v>38</v>
      </c>
      <c r="D20" s="3">
        <f>D8+D16</f>
        <v>13435.48</v>
      </c>
    </row>
    <row r="21"/>
    <row r="22">
      <c r="A22" s="1" t="inlineStr">
        <is>
          <t xml:space="preserve">CLOSING BALANCE — 31 March 2026</t>
        </is>
      </c>
      <c r="B22" s="1" t="inlineStr">
        <is>
          <t xml:space="preserve">Per Mercury statement for period 01–31 Mar 2026</t>
        </is>
      </c>
      <c r="D22" s="3">
        <f>D2+D20</f>
        <v>30420.88</v>
      </c>
    </row>
  </sheetData>
</worksheet>
</file>

<file path=xl/worksheets/sheet2.xml><?xml version="1.0" encoding="utf-8"?>
<worksheet xmlns="http://schemas.openxmlformats.org/spreadsheetml/2006/main">
  <cols>
    <col min="1" max="1" width="17.57" customWidth="1"/>
    <col min="2" max="2" width="18.92" customWidth="1"/>
    <col min="3" max="3" width="18.92" customWidth="1"/>
    <col min="4" max="4" width="18.92" customWidth="1"/>
    <col min="5" max="5" width="18.92" customWidth="1"/>
    <col min="6" max="6" width="18.92" customWidth="1"/>
    <col min="7" max="7" width="18.92" customWidth="1"/>
    <col min="8" max="8" width="18.92" customWidth="1"/>
    <col min="9" max="9" width="14.86" customWidth="1"/>
    <col min="10" max="10" width="10.81" customWidth="1"/>
  </cols>
  <sheetData>
    <row r="1">
      <c r="A1" s="1" t="inlineStr">
        <is>
          <t xml:space="preserve">Month</t>
        </is>
      </c>
      <c r="B1" s="1" t="inlineStr">
        <is>
          <t xml:space="preserve">Opening</t>
        </is>
      </c>
      <c r="C1" s="1" t="inlineStr">
        <is>
          <t xml:space="preserve">Money in</t>
        </is>
      </c>
      <c r="D1" s="1" t="inlineStr">
        <is>
          <t xml:space="preserve">Money out</t>
        </is>
      </c>
      <c r="E1" s="1" t="inlineStr">
        <is>
          <t xml:space="preserve">Sent to card</t>
        </is>
      </c>
      <c r="F1" s="1" t="inlineStr">
        <is>
          <t xml:space="preserve">Net</t>
        </is>
      </c>
      <c r="G1" s="1" t="inlineStr">
        <is>
          <t xml:space="preserve">Closing</t>
        </is>
      </c>
      <c r="H1" s="1" t="inlineStr">
        <is>
          <t xml:space="preserve">Statement</t>
        </is>
      </c>
      <c r="I1" s="1" t="inlineStr">
        <is>
          <t xml:space="preserve">Check</t>
        </is>
      </c>
      <c r="J1" s="1" t="inlineStr">
        <is>
          <t xml:space="preserve">Txns</t>
        </is>
      </c>
    </row>
    <row r="2">
      <c r="A2" s="0" t="inlineStr">
        <is>
          <t xml:space="preserve">April 2025</t>
        </is>
      </c>
      <c r="B2" s="2">
        <v>16985.4</v>
      </c>
      <c r="C2" s="2">
        <v>12011.88</v>
      </c>
      <c r="D2" s="2">
        <v>-1.08</v>
      </c>
      <c r="E2" s="2">
        <v>0.0</v>
      </c>
      <c r="F2" s="2">
        <f>C2+D2+E2</f>
        <v>12010.8</v>
      </c>
      <c r="G2" s="2">
        <f>B2+F2</f>
        <v>28996.2</v>
      </c>
      <c r="H2" s="2">
        <v>28996.2</v>
      </c>
      <c r="I2" s="0" t="str">
        <f>IF(G2=H2,"MATCH","MISMATCH")</f>
        <v>MATCH</v>
      </c>
      <c r="J2" s="2">
        <v>5</v>
      </c>
    </row>
    <row r="3">
      <c r="A3" s="0" t="inlineStr">
        <is>
          <t xml:space="preserve">May 2025</t>
        </is>
      </c>
      <c r="B3" s="2">
        <f>G2</f>
        <v>28996.2</v>
      </c>
      <c r="C3" s="2">
        <v>0.0</v>
      </c>
      <c r="D3" s="2">
        <v>0.0</v>
      </c>
      <c r="E3" s="2">
        <v>0.0</v>
      </c>
      <c r="F3" s="2">
        <f>C3+D3+E3</f>
        <v>0.0</v>
      </c>
      <c r="G3" s="2">
        <f>B3+F3</f>
        <v>28996.2</v>
      </c>
      <c r="H3" s="2">
        <v>28996.2</v>
      </c>
      <c r="I3" s="0" t="str">
        <f>IF(G3=H3,"MATCH","MISMATCH")</f>
        <v>MATCH</v>
      </c>
      <c r="J3" s="2">
        <v>0</v>
      </c>
    </row>
    <row r="4">
      <c r="A4" s="0" t="inlineStr">
        <is>
          <t xml:space="preserve">June 2025</t>
        </is>
      </c>
      <c r="B4" s="2">
        <f>G3</f>
        <v>28996.2</v>
      </c>
      <c r="C4" s="2">
        <v>327.0</v>
      </c>
      <c r="D4" s="2">
        <v>-6.44</v>
      </c>
      <c r="E4" s="2">
        <v>0.0</v>
      </c>
      <c r="F4" s="2">
        <f>C4+D4+E4</f>
        <v>320.56</v>
      </c>
      <c r="G4" s="2">
        <f>B4+F4</f>
        <v>29316.76</v>
      </c>
      <c r="H4" s="2">
        <v>29316.76</v>
      </c>
      <c r="I4" s="0" t="str">
        <f>IF(G4=H4,"MATCH","MISMATCH")</f>
        <v>MATCH</v>
      </c>
      <c r="J4" s="2">
        <v>2</v>
      </c>
    </row>
    <row r="5">
      <c r="A5" s="0" t="inlineStr">
        <is>
          <t xml:space="preserve">July 2025</t>
        </is>
      </c>
      <c r="B5" s="2">
        <f>G4</f>
        <v>29316.76</v>
      </c>
      <c r="C5" s="2">
        <v>8481.39</v>
      </c>
      <c r="D5" s="2">
        <v>-2398.97</v>
      </c>
      <c r="E5" s="2">
        <v>-241.25</v>
      </c>
      <c r="F5" s="2">
        <f>C5+D5+E5</f>
        <v>5841.17</v>
      </c>
      <c r="G5" s="2">
        <f>B5+F5</f>
        <v>35157.93</v>
      </c>
      <c r="H5" s="2">
        <v>35157.93</v>
      </c>
      <c r="I5" s="0" t="str">
        <f>IF(G5=H5,"MATCH","MISMATCH")</f>
        <v>MATCH</v>
      </c>
      <c r="J5" s="2">
        <v>6</v>
      </c>
    </row>
    <row r="6">
      <c r="A6" s="0" t="inlineStr">
        <is>
          <t xml:space="preserve">August 2025</t>
        </is>
      </c>
      <c r="B6" s="2">
        <f>G5</f>
        <v>35157.93</v>
      </c>
      <c r="C6" s="2">
        <v>2143.18</v>
      </c>
      <c r="D6" s="2">
        <v>-6600.54</v>
      </c>
      <c r="E6" s="2">
        <v>0.0</v>
      </c>
      <c r="F6" s="2">
        <f>C6+D6+E6</f>
        <v>-4457.36</v>
      </c>
      <c r="G6" s="2">
        <f>B6+F6</f>
        <v>30700.57</v>
      </c>
      <c r="H6" s="2">
        <v>30700.57</v>
      </c>
      <c r="I6" s="0" t="str">
        <f>IF(G6=H6,"MATCH","MISMATCH")</f>
        <v>MATCH</v>
      </c>
      <c r="J6" s="2">
        <v>4</v>
      </c>
    </row>
    <row r="7">
      <c r="A7" s="0" t="inlineStr">
        <is>
          <t xml:space="preserve">September 2025</t>
        </is>
      </c>
      <c r="B7" s="2">
        <f>G6</f>
        <v>30700.57</v>
      </c>
      <c r="C7" s="2">
        <v>5908.02</v>
      </c>
      <c r="D7" s="2">
        <v>-2359.96</v>
      </c>
      <c r="E7" s="2">
        <v>0.0</v>
      </c>
      <c r="F7" s="2">
        <f>C7+D7+E7</f>
        <v>3548.06</v>
      </c>
      <c r="G7" s="2">
        <f>B7+F7</f>
        <v>34248.63</v>
      </c>
      <c r="H7" s="2">
        <v>34248.63</v>
      </c>
      <c r="I7" s="0" t="str">
        <f>IF(G7=H7,"MATCH","MISMATCH")</f>
        <v>MATCH</v>
      </c>
      <c r="J7" s="2">
        <v>5</v>
      </c>
    </row>
    <row r="8">
      <c r="A8" s="0" t="inlineStr">
        <is>
          <t xml:space="preserve">October 2025</t>
        </is>
      </c>
      <c r="B8" s="2">
        <f>G7</f>
        <v>34248.63</v>
      </c>
      <c r="C8" s="2">
        <v>141.39</v>
      </c>
      <c r="D8" s="2">
        <v>-3774.6</v>
      </c>
      <c r="E8" s="2">
        <v>0.0</v>
      </c>
      <c r="F8" s="2">
        <f>C8+D8+E8</f>
        <v>-3633.21</v>
      </c>
      <c r="G8" s="2">
        <f>B8+F8</f>
        <v>30615.42</v>
      </c>
      <c r="H8" s="2">
        <v>30615.42</v>
      </c>
      <c r="I8" s="0" t="str">
        <f>IF(G8=H8,"MATCH","MISMATCH")</f>
        <v>MATCH</v>
      </c>
      <c r="J8" s="2">
        <v>2</v>
      </c>
    </row>
    <row r="9">
      <c r="A9" s="0" t="inlineStr">
        <is>
          <t xml:space="preserve">November 2025</t>
        </is>
      </c>
      <c r="B9" s="2">
        <f>G8</f>
        <v>30615.42</v>
      </c>
      <c r="C9" s="2">
        <v>179.05</v>
      </c>
      <c r="D9" s="2">
        <v>0.0</v>
      </c>
      <c r="E9" s="2">
        <v>-80.9</v>
      </c>
      <c r="F9" s="2">
        <f>C9+D9+E9</f>
        <v>98.15</v>
      </c>
      <c r="G9" s="2">
        <f>B9+F9</f>
        <v>30713.57</v>
      </c>
      <c r="H9" s="2">
        <v>30713.57</v>
      </c>
      <c r="I9" s="0" t="str">
        <f>IF(G9=H9,"MATCH","MISMATCH")</f>
        <v>MATCH</v>
      </c>
      <c r="J9" s="2">
        <v>3</v>
      </c>
    </row>
    <row r="10">
      <c r="A10" s="0" t="inlineStr">
        <is>
          <t xml:space="preserve">December 2025</t>
        </is>
      </c>
      <c r="B10" s="2">
        <f>G9</f>
        <v>30713.57</v>
      </c>
      <c r="C10" s="2">
        <v>1500.0</v>
      </c>
      <c r="D10" s="2">
        <v>-93.06</v>
      </c>
      <c r="E10" s="2">
        <v>0.0</v>
      </c>
      <c r="F10" s="2">
        <f>C10+D10+E10</f>
        <v>1406.94</v>
      </c>
      <c r="G10" s="2">
        <f>B10+F10</f>
        <v>32120.51</v>
      </c>
      <c r="H10" s="2">
        <v>32120.51</v>
      </c>
      <c r="I10" s="0" t="str">
        <f>IF(G10=H10,"MATCH","MISMATCH")</f>
        <v>MATCH</v>
      </c>
      <c r="J10" s="2">
        <v>2</v>
      </c>
    </row>
    <row r="11">
      <c r="A11" s="0" t="inlineStr">
        <is>
          <t xml:space="preserve">January 2026</t>
        </is>
      </c>
      <c r="B11" s="2">
        <f>G10</f>
        <v>32120.51</v>
      </c>
      <c r="C11" s="2">
        <v>1287.0</v>
      </c>
      <c r="D11" s="2">
        <v>-1211.28</v>
      </c>
      <c r="E11" s="2">
        <v>-200.0</v>
      </c>
      <c r="F11" s="2">
        <f>C11+D11+E11</f>
        <v>-124.28</v>
      </c>
      <c r="G11" s="2">
        <f>B11+F11</f>
        <v>31996.23</v>
      </c>
      <c r="H11" s="2">
        <v>31996.23</v>
      </c>
      <c r="I11" s="0" t="str">
        <f>IF(G11=H11,"MATCH","MISMATCH")</f>
        <v>MATCH</v>
      </c>
      <c r="J11" s="2">
        <v>4</v>
      </c>
    </row>
    <row r="12">
      <c r="A12" s="0" t="inlineStr">
        <is>
          <t xml:space="preserve">February 2026</t>
        </is>
      </c>
      <c r="B12" s="2">
        <f>G11</f>
        <v>31996.23</v>
      </c>
      <c r="C12" s="2">
        <v>1285.15</v>
      </c>
      <c r="D12" s="2">
        <v>-2000.93</v>
      </c>
      <c r="E12" s="2">
        <v>0.0</v>
      </c>
      <c r="F12" s="2">
        <f>C12+D12+E12</f>
        <v>-715.78</v>
      </c>
      <c r="G12" s="2">
        <f>B12+F12</f>
        <v>31280.45</v>
      </c>
      <c r="H12" s="2">
        <v>31280.45</v>
      </c>
      <c r="I12" s="0" t="str">
        <f>IF(G12=H12,"MATCH","MISMATCH")</f>
        <v>MATCH</v>
      </c>
      <c r="J12" s="2">
        <v>4</v>
      </c>
    </row>
    <row r="13">
      <c r="A13" s="0" t="inlineStr">
        <is>
          <t xml:space="preserve">March 2026</t>
        </is>
      </c>
      <c r="B13" s="2">
        <f>G12</f>
        <v>31280.45</v>
      </c>
      <c r="C13" s="2">
        <v>0.0</v>
      </c>
      <c r="D13" s="2">
        <v>-859.57</v>
      </c>
      <c r="E13" s="2">
        <v>0.0</v>
      </c>
      <c r="F13" s="2">
        <f>C13+D13+E13</f>
        <v>-859.57</v>
      </c>
      <c r="G13" s="2">
        <f>B13+F13</f>
        <v>30420.88</v>
      </c>
      <c r="H13" s="2">
        <v>30420.88</v>
      </c>
      <c r="I13" s="0" t="str">
        <f>IF(G13=H13,"MATCH","MISMATCH")</f>
        <v>MATCH</v>
      </c>
      <c r="J13" s="2">
        <v>1</v>
      </c>
    </row>
    <row r="14">
      <c r="A14" s="1" t="inlineStr">
        <is>
          <t xml:space="preserve">FULL YEAR</t>
        </is>
      </c>
      <c r="B14" s="3">
        <f>B2</f>
        <v>16985.4</v>
      </c>
      <c r="C14" s="3">
        <f>SUM(C2:C13)</f>
        <v>33264.06</v>
      </c>
      <c r="D14" s="3">
        <f>SUM(D2:D13)</f>
        <v>-19306.43</v>
      </c>
      <c r="E14" s="3">
        <f>SUM(E2:E13)</f>
        <v>-522.15</v>
      </c>
      <c r="F14" s="3">
        <f>SUM(F2:F13)</f>
        <v>13435.48</v>
      </c>
      <c r="G14" s="3">
        <f>B14+F14</f>
        <v>30420.88</v>
      </c>
      <c r="H14" s="3">
        <v>30420.88</v>
      </c>
      <c r="I14" s="1" t="inlineStr">
        <is>
          <t xml:space="preserve">MATCH</t>
        </is>
      </c>
      <c r="J14" s="3">
        <f>SUM(J2:J13)</f>
        <v>38</v>
      </c>
    </row>
  </sheetData>
</worksheet>
</file>

<file path=xl/worksheets/sheet3.xml><?xml version="1.0" encoding="utf-8"?>
<worksheet xmlns="http://schemas.openxmlformats.org/spreadsheetml/2006/main">
  <cols>
    <col min="1" max="1" width="14.86" customWidth="1"/>
    <col min="2" max="2" width="22.97" customWidth="1"/>
    <col min="3" max="3" width="20.27" customWidth="1"/>
    <col min="4" max="4" width="40.54" customWidth="1"/>
    <col min="5" max="5" width="56.76" customWidth="1"/>
    <col min="6" max="6" width="20.27" customWidth="1"/>
    <col min="7" max="7" width="18.92" customWidth="1"/>
    <col min="8" max="8" width="18.92" customWidth="1"/>
  </cols>
  <sheetData>
    <row r="1">
      <c r="A1" s="1" t="inlineStr">
        <is>
          <t xml:space="preserve">Posted</t>
        </is>
      </c>
      <c r="B1" s="1" t="inlineStr">
        <is>
          <t xml:space="preserve">Account</t>
        </is>
      </c>
      <c r="C1" s="1" t="inlineStr">
        <is>
          <t xml:space="preserve">Type</t>
        </is>
      </c>
      <c r="D1" s="1" t="inlineStr">
        <is>
          <t xml:space="preserve">Counterparty</t>
        </is>
      </c>
      <c r="E1" s="1" t="inlineStr">
        <is>
          <t xml:space="preserve">Description</t>
        </is>
      </c>
      <c r="F1" s="1" t="inlineStr">
        <is>
          <t xml:space="preserve">Category</t>
        </is>
      </c>
      <c r="G1" s="1" t="inlineStr">
        <is>
          <t xml:space="preserve">Amount (USD)</t>
        </is>
      </c>
      <c r="H1" s="1" t="inlineStr">
        <is>
          <t xml:space="preserve">Balance</t>
        </is>
      </c>
    </row>
    <row r="2">
      <c r="A2" s="0" t="inlineStr">
        <is>
          <t xml:space="preserve">2025-04-02</t>
        </is>
      </c>
      <c r="B2" s="0" t="inlineStr">
        <is>
          <t xml:space="preserve">Checking ••6538</t>
        </is>
      </c>
      <c r="C2" s="0" t="inlineStr">
        <is>
          <t xml:space="preserve">Incoming wire</t>
        </is>
      </c>
      <c r="D2" s="0" t="inlineStr">
        <is>
          <t xml:space="preserve">BUYGOODS INC.</t>
        </is>
      </c>
      <c r="G2" s="2">
        <v>8548.04</v>
      </c>
      <c r="H2" s="2">
        <v>25533.44</v>
      </c>
    </row>
    <row r="3">
      <c r="A3" s="0" t="inlineStr">
        <is>
          <t xml:space="preserve">2025-04-04</t>
        </is>
      </c>
      <c r="B3" s="0" t="inlineStr">
        <is>
          <t xml:space="preserve">Checking ••6538</t>
        </is>
      </c>
      <c r="C3" s="0" t="inlineStr">
        <is>
          <t xml:space="preserve">Incoming wire</t>
        </is>
      </c>
      <c r="D3" s="0" t="inlineStr">
        <is>
          <t xml:space="preserve">CLICKSTACK LTD.</t>
        </is>
      </c>
      <c r="G3" s="2">
        <v>1340.0</v>
      </c>
      <c r="H3" s="2">
        <v>26873.44</v>
      </c>
    </row>
    <row r="4">
      <c r="A4" s="0" t="inlineStr">
        <is>
          <t xml:space="preserve">2025-04-07</t>
        </is>
      </c>
      <c r="B4" s="0" t="inlineStr">
        <is>
          <t xml:space="preserve">Checking ••6538</t>
        </is>
      </c>
      <c r="C4" s="0" t="inlineStr">
        <is>
          <t xml:space="preserve">Incoming wire</t>
        </is>
      </c>
      <c r="D4" s="0" t="inlineStr">
        <is>
          <t xml:space="preserve">BUYGOODS INC.</t>
        </is>
      </c>
      <c r="G4" s="2">
        <v>2123.8</v>
      </c>
      <c r="H4" s="2">
        <v>28997.24</v>
      </c>
    </row>
    <row r="5">
      <c r="A5" s="0" t="inlineStr">
        <is>
          <t xml:space="preserve">2025-04-21</t>
        </is>
      </c>
      <c r="B5" s="0" t="inlineStr">
        <is>
          <t xml:space="preserve">Checking ••6538</t>
        </is>
      </c>
      <c r="C5" s="0" t="inlineStr">
        <is>
          <t xml:space="preserve">Outgoing payment</t>
        </is>
      </c>
      <c r="D5" s="0" t="inlineStr">
        <is>
          <t xml:space="preserve">Google LLC</t>
        </is>
      </c>
      <c r="E5" s="0" t="inlineStr">
        <is>
          <t xml:space="preserve">Send Money transaction initiated on Mercury</t>
        </is>
      </c>
      <c r="G5" s="2">
        <v>-1.08</v>
      </c>
      <c r="H5" s="2">
        <v>28996.16</v>
      </c>
    </row>
    <row r="6">
      <c r="A6" s="0" t="inlineStr">
        <is>
          <t xml:space="preserve">2025-04-21</t>
        </is>
      </c>
      <c r="B6" s="0" t="inlineStr">
        <is>
          <t xml:space="preserve">Checking ••6538</t>
        </is>
      </c>
      <c r="C6" s="0" t="inlineStr">
        <is>
          <t xml:space="preserve">Incoming ACH</t>
        </is>
      </c>
      <c r="D6" s="0" t="inlineStr">
        <is>
          <t xml:space="preserve">GOOGLE</t>
        </is>
      </c>
      <c r="E6" s="0" t="inlineStr">
        <is>
          <t xml:space="preserve">GOOGLE; ACCTVERIFY; GCALIT LLC</t>
        </is>
      </c>
      <c r="G6" s="2">
        <v>0.04</v>
      </c>
      <c r="H6" s="2">
        <v>28996.2</v>
      </c>
    </row>
    <row r="7">
      <c r="A7" s="0" t="inlineStr">
        <is>
          <t xml:space="preserve">2025-06-27</t>
        </is>
      </c>
      <c r="B7" s="0" t="inlineStr">
        <is>
          <t xml:space="preserve">Checking ••6538</t>
        </is>
      </c>
      <c r="C7" s="0" t="inlineStr">
        <is>
          <t xml:space="preserve">Incoming ACH</t>
        </is>
      </c>
      <c r="D7" s="0" t="inlineStr">
        <is>
          <t xml:space="preserve">Guru Media Int L</t>
        </is>
      </c>
      <c r="E7" s="0" t="inlineStr">
        <is>
          <t xml:space="preserve">Guru Media Int L; EDI PYMNTS; GCALIT LLC</t>
        </is>
      </c>
      <c r="G7" s="2">
        <v>327.0</v>
      </c>
      <c r="H7" s="2">
        <v>29323.2</v>
      </c>
    </row>
    <row r="8">
      <c r="A8" s="0" t="inlineStr">
        <is>
          <t xml:space="preserve">2025-06-30</t>
        </is>
      </c>
      <c r="B8" s="0" t="inlineStr">
        <is>
          <t xml:space="preserve">Checking ••6538</t>
        </is>
      </c>
      <c r="C8" s="0" t="inlineStr">
        <is>
          <t xml:space="preserve">Outgoing payment</t>
        </is>
      </c>
      <c r="D8" s="0" t="inlineStr">
        <is>
          <t xml:space="preserve">Google LLC</t>
        </is>
      </c>
      <c r="E8" s="0" t="inlineStr">
        <is>
          <t xml:space="preserve">Send Money transaction initiated on Mercury</t>
        </is>
      </c>
      <c r="G8" s="2">
        <v>-6.44</v>
      </c>
      <c r="H8" s="2">
        <v>29316.76</v>
      </c>
    </row>
    <row r="9">
      <c r="A9" s="0" t="inlineStr">
        <is>
          <t xml:space="preserve">2025-07-02</t>
        </is>
      </c>
      <c r="B9" s="0" t="inlineStr">
        <is>
          <t xml:space="preserve">Credit card</t>
        </is>
      </c>
      <c r="C9" s="0" t="inlineStr">
        <is>
          <t xml:space="preserve">Card</t>
        </is>
      </c>
      <c r="D9" s="0" t="inlineStr">
        <is>
          <t xml:space="preserve">Cs* Wyomingllcattorney</t>
        </is>
      </c>
      <c r="E9" s="0" t="inlineStr">
        <is>
          <t xml:space="preserve">CS* WYOMINGLLCATTORNEY</t>
        </is>
      </c>
      <c r="F9" s="0" t="inlineStr">
        <is>
          <t xml:space="preserve">ProfessionalServices</t>
        </is>
      </c>
      <c r="G9" s="2">
        <v>-179.0</v>
      </c>
    </row>
    <row r="10">
      <c r="A10" s="0" t="inlineStr">
        <is>
          <t xml:space="preserve">2025-07-02</t>
        </is>
      </c>
      <c r="B10" s="0" t="inlineStr">
        <is>
          <t xml:space="preserve">Credit card</t>
        </is>
      </c>
      <c r="C10" s="0" t="inlineStr">
        <is>
          <t xml:space="preserve">Card</t>
        </is>
      </c>
      <c r="D10" s="0" t="inlineStr">
        <is>
          <t xml:space="preserve">Cs* State of Wyoming</t>
        </is>
      </c>
      <c r="E10" s="0" t="inlineStr">
        <is>
          <t xml:space="preserve">CS* STATE OF WYOMING</t>
        </is>
      </c>
      <c r="F10" s="0" t="inlineStr">
        <is>
          <t xml:space="preserve">ProfessionalServices</t>
        </is>
      </c>
      <c r="G10" s="2">
        <v>-62.25</v>
      </c>
    </row>
    <row r="11">
      <c r="A11" s="0" t="inlineStr">
        <is>
          <t xml:space="preserve">2025-07-02</t>
        </is>
      </c>
      <c r="B11" s="0" t="inlineStr">
        <is>
          <t xml:space="preserve">Checking ••6538</t>
        </is>
      </c>
      <c r="C11" s="0" t="inlineStr">
        <is>
          <t xml:space="preserve">Outgoing payment</t>
        </is>
      </c>
      <c r="D11" s="0" t="inlineStr">
        <is>
          <t xml:space="preserve">Google LLC</t>
        </is>
      </c>
      <c r="E11" s="0" t="inlineStr">
        <is>
          <t xml:space="preserve">Send Money transaction initiated on Mercury</t>
        </is>
      </c>
      <c r="G11" s="2">
        <v>-2398.97</v>
      </c>
      <c r="H11" s="2">
        <v>26917.79</v>
      </c>
    </row>
    <row r="12">
      <c r="A12" s="0" t="inlineStr">
        <is>
          <t xml:space="preserve">2025-07-09</t>
        </is>
      </c>
      <c r="B12" s="0" t="inlineStr">
        <is>
          <t xml:space="preserve">Checking ••6538</t>
        </is>
      </c>
      <c r="C12" s="0" t="inlineStr">
        <is>
          <t xml:space="preserve">Incoming wire</t>
        </is>
      </c>
      <c r="D12" s="0" t="inlineStr">
        <is>
          <t xml:space="preserve">BUYGOODS INC.</t>
        </is>
      </c>
      <c r="G12" s="2">
        <v>6347.78</v>
      </c>
      <c r="H12" s="2">
        <v>33265.57</v>
      </c>
    </row>
    <row r="13">
      <c r="A13" s="0" t="inlineStr">
        <is>
          <t xml:space="preserve">2025-07-12</t>
        </is>
      </c>
      <c r="B13" s="0" t="inlineStr">
        <is>
          <t xml:space="preserve">Credit card</t>
        </is>
      </c>
      <c r="C13" s="0" t="inlineStr">
        <is>
          <t xml:space="preserve">Card</t>
        </is>
      </c>
      <c r="D13" s="0" t="inlineStr">
        <is>
          <t xml:space="preserve">Mercury Checking ••6538</t>
        </is>
      </c>
      <c r="E13" s="0" t="inlineStr">
        <is>
          <t xml:space="preserve">IO AUTOPAY</t>
        </is>
      </c>
      <c r="G13" s="2">
        <v>241.25</v>
      </c>
    </row>
    <row r="14">
      <c r="A14" s="0" t="inlineStr">
        <is>
          <t xml:space="preserve">2025-07-12</t>
        </is>
      </c>
      <c r="B14" s="0" t="inlineStr">
        <is>
          <t xml:space="preserve">Checking ••6538</t>
        </is>
      </c>
      <c r="C14" s="0" t="inlineStr">
        <is>
          <t xml:space="preserve">Sent to card</t>
        </is>
      </c>
      <c r="D14" s="0" t="inlineStr">
        <is>
          <t xml:space="preserve">Mercury Credit</t>
        </is>
      </c>
      <c r="E14" s="0" t="inlineStr">
        <is>
          <t xml:space="preserve">IO AUTOPAY</t>
        </is>
      </c>
      <c r="G14" s="2">
        <v>-241.25</v>
      </c>
      <c r="H14" s="2">
        <v>33024.32</v>
      </c>
    </row>
    <row r="15">
      <c r="A15" s="0" t="inlineStr">
        <is>
          <t xml:space="preserve">2025-07-12</t>
        </is>
      </c>
      <c r="B15" s="0" t="inlineStr">
        <is>
          <t xml:space="preserve">Checking ••6538</t>
        </is>
      </c>
      <c r="C15" s="0" t="inlineStr">
        <is>
          <t xml:space="preserve">Cashback</t>
        </is>
      </c>
      <c r="D15" s="0" t="inlineStr">
        <is>
          <t xml:space="preserve">Mercury IO Cashback</t>
        </is>
      </c>
      <c r="G15" s="2">
        <v>3.61</v>
      </c>
      <c r="H15" s="2">
        <v>33027.93</v>
      </c>
    </row>
    <row r="16">
      <c r="A16" s="0" t="inlineStr">
        <is>
          <t xml:space="preserve">2025-07-17</t>
        </is>
      </c>
      <c r="B16" s="0" t="inlineStr">
        <is>
          <t xml:space="preserve">Checking ••6538</t>
        </is>
      </c>
      <c r="C16" s="0" t="inlineStr">
        <is>
          <t xml:space="preserve">Incoming wire</t>
        </is>
      </c>
      <c r="D16" s="0" t="inlineStr">
        <is>
          <t xml:space="preserve">SANITY ADS LIMITED</t>
        </is>
      </c>
      <c r="G16" s="2">
        <v>1380.0</v>
      </c>
      <c r="H16" s="2">
        <v>34407.93</v>
      </c>
    </row>
    <row r="17">
      <c r="A17" s="0" t="inlineStr">
        <is>
          <t xml:space="preserve">2025-07-31</t>
        </is>
      </c>
      <c r="B17" s="0" t="inlineStr">
        <is>
          <t xml:space="preserve">Checking ••6538</t>
        </is>
      </c>
      <c r="C17" s="0" t="inlineStr">
        <is>
          <t xml:space="preserve">Incoming wire</t>
        </is>
      </c>
      <c r="D17" s="0" t="inlineStr">
        <is>
          <t xml:space="preserve">CLICKSTACK LTD.</t>
        </is>
      </c>
      <c r="G17" s="2">
        <v>750.0</v>
      </c>
      <c r="H17" s="2">
        <v>35157.93</v>
      </c>
    </row>
    <row r="18">
      <c r="A18" s="0" t="inlineStr">
        <is>
          <t xml:space="preserve">2025-08-04</t>
        </is>
      </c>
      <c r="B18" s="0" t="inlineStr">
        <is>
          <t xml:space="preserve">Checking ••6538</t>
        </is>
      </c>
      <c r="C18" s="0" t="inlineStr">
        <is>
          <t xml:space="preserve">Outgoing payment</t>
        </is>
      </c>
      <c r="D18" s="0" t="inlineStr">
        <is>
          <t xml:space="preserve">Google LLC</t>
        </is>
      </c>
      <c r="E18" s="0" t="inlineStr">
        <is>
          <t xml:space="preserve">Send Money transaction initiated on Mercury</t>
        </is>
      </c>
      <c r="G18" s="2">
        <v>-6600.54</v>
      </c>
      <c r="H18" s="2">
        <v>28557.39</v>
      </c>
    </row>
    <row r="19">
      <c r="A19" s="0" t="inlineStr">
        <is>
          <t xml:space="preserve">2025-08-13</t>
        </is>
      </c>
      <c r="B19" s="0" t="inlineStr">
        <is>
          <t xml:space="preserve">Checking ••6538</t>
        </is>
      </c>
      <c r="C19" s="0" t="inlineStr">
        <is>
          <t xml:space="preserve">Incoming ACH</t>
        </is>
      </c>
      <c r="D19" s="0" t="inlineStr">
        <is>
          <t xml:space="preserve">GOOGLE</t>
        </is>
      </c>
      <c r="E19" s="0" t="inlineStr">
        <is>
          <t xml:space="preserve">GOOGLE; ACCTVERIFY; GCALIT LLC</t>
        </is>
      </c>
      <c r="G19" s="2">
        <v>0.69</v>
      </c>
      <c r="H19" s="2">
        <v>28558.08</v>
      </c>
    </row>
    <row r="20">
      <c r="A20" s="0" t="inlineStr">
        <is>
          <t xml:space="preserve">2025-08-22</t>
        </is>
      </c>
      <c r="B20" s="0" t="inlineStr">
        <is>
          <t xml:space="preserve">Checking ••6538</t>
        </is>
      </c>
      <c r="C20" s="0" t="inlineStr">
        <is>
          <t xml:space="preserve">Incoming ACH</t>
        </is>
      </c>
      <c r="D20" s="0" t="inlineStr">
        <is>
          <t xml:space="preserve">GOOGLE</t>
        </is>
      </c>
      <c r="E20" s="0" t="inlineStr">
        <is>
          <t xml:space="preserve">GOOGLE; YOUTUBE_PA; GCALIT LLC</t>
        </is>
      </c>
      <c r="G20" s="2">
        <v>182.49</v>
      </c>
      <c r="H20" s="2">
        <v>28740.57</v>
      </c>
    </row>
    <row r="21">
      <c r="A21" s="0" t="inlineStr">
        <is>
          <t xml:space="preserve">2025-08-27</t>
        </is>
      </c>
      <c r="B21" s="0" t="inlineStr">
        <is>
          <t xml:space="preserve">Checking ••6538</t>
        </is>
      </c>
      <c r="C21" s="0" t="inlineStr">
        <is>
          <t xml:space="preserve">Incoming wire</t>
        </is>
      </c>
      <c r="D21" s="0" t="inlineStr">
        <is>
          <t xml:space="preserve">BLUE WAVE ADS LIMITED ZHONG GUO NEI</t>
        </is>
      </c>
      <c r="G21" s="2">
        <v>1960.0</v>
      </c>
      <c r="H21" s="2">
        <v>30700.57</v>
      </c>
    </row>
    <row r="22">
      <c r="A22" s="0" t="inlineStr">
        <is>
          <t xml:space="preserve">2025-09-03</t>
        </is>
      </c>
      <c r="B22" s="0" t="inlineStr">
        <is>
          <t xml:space="preserve">Checking ••6538</t>
        </is>
      </c>
      <c r="C22" s="0" t="inlineStr">
        <is>
          <t xml:space="preserve">Incoming wire</t>
        </is>
      </c>
      <c r="D22" s="0" t="inlineStr">
        <is>
          <t xml:space="preserve">SANITY ADS LIMITED</t>
        </is>
      </c>
      <c r="G22" s="2">
        <v>1220.0</v>
      </c>
      <c r="H22" s="2">
        <v>31920.57</v>
      </c>
    </row>
    <row r="23">
      <c r="A23" s="0" t="inlineStr">
        <is>
          <t xml:space="preserve">2025-09-03</t>
        </is>
      </c>
      <c r="B23" s="0" t="inlineStr">
        <is>
          <t xml:space="preserve">Checking ••6538</t>
        </is>
      </c>
      <c r="C23" s="0" t="inlineStr">
        <is>
          <t xml:space="preserve">Outgoing payment</t>
        </is>
      </c>
      <c r="D23" s="0" t="inlineStr">
        <is>
          <t xml:space="preserve">Google LLC</t>
        </is>
      </c>
      <c r="E23" s="0" t="inlineStr">
        <is>
          <t xml:space="preserve">Send Money transaction initiated on Mercury</t>
        </is>
      </c>
      <c r="G23" s="2">
        <v>-2359.96</v>
      </c>
      <c r="H23" s="2">
        <v>29560.61</v>
      </c>
    </row>
    <row r="24">
      <c r="A24" s="0" t="inlineStr">
        <is>
          <t xml:space="preserve">2025-09-10</t>
        </is>
      </c>
      <c r="B24" s="0" t="inlineStr">
        <is>
          <t xml:space="preserve">Checking ••6538</t>
        </is>
      </c>
      <c r="C24" s="0" t="inlineStr">
        <is>
          <t xml:space="preserve">Incoming wire</t>
        </is>
      </c>
      <c r="D24" s="0" t="inlineStr">
        <is>
          <t xml:space="preserve">BLITZADS LIMITED</t>
        </is>
      </c>
      <c r="G24" s="2">
        <v>2335.0</v>
      </c>
      <c r="H24" s="2">
        <v>31895.61</v>
      </c>
    </row>
    <row r="25">
      <c r="A25" s="0" t="inlineStr">
        <is>
          <t xml:space="preserve">2025-09-17</t>
        </is>
      </c>
      <c r="B25" s="0" t="inlineStr">
        <is>
          <t xml:space="preserve">Checking ••6538</t>
        </is>
      </c>
      <c r="C25" s="0" t="inlineStr">
        <is>
          <t xml:space="preserve">Incoming wire</t>
        </is>
      </c>
      <c r="D25" s="0" t="inlineStr">
        <is>
          <t xml:space="preserve">SANITY ADS LIMITED</t>
        </is>
      </c>
      <c r="G25" s="2">
        <v>2215.0</v>
      </c>
      <c r="H25" s="2">
        <v>34110.61</v>
      </c>
    </row>
    <row r="26">
      <c r="A26" s="0" t="inlineStr">
        <is>
          <t xml:space="preserve">2025-09-22</t>
        </is>
      </c>
      <c r="B26" s="0" t="inlineStr">
        <is>
          <t xml:space="preserve">Checking ••6538</t>
        </is>
      </c>
      <c r="C26" s="0" t="inlineStr">
        <is>
          <t xml:space="preserve">Incoming ACH</t>
        </is>
      </c>
      <c r="D26" s="0" t="inlineStr">
        <is>
          <t xml:space="preserve">GOOGLE</t>
        </is>
      </c>
      <c r="E26" s="0" t="inlineStr">
        <is>
          <t xml:space="preserve">GOOGLE; YOUTUBE_PA; GCALIT LLC</t>
        </is>
      </c>
      <c r="G26" s="2">
        <v>138.02</v>
      </c>
      <c r="H26" s="2">
        <v>34248.63</v>
      </c>
    </row>
    <row r="27">
      <c r="A27" s="0" t="inlineStr">
        <is>
          <t xml:space="preserve">2025-10-03</t>
        </is>
      </c>
      <c r="B27" s="0" t="inlineStr">
        <is>
          <t xml:space="preserve">Checking ••6538</t>
        </is>
      </c>
      <c r="C27" s="0" t="inlineStr">
        <is>
          <t xml:space="preserve">Outgoing payment</t>
        </is>
      </c>
      <c r="D27" s="0" t="inlineStr">
        <is>
          <t xml:space="preserve">Google LLC</t>
        </is>
      </c>
      <c r="E27" s="0" t="inlineStr">
        <is>
          <t xml:space="preserve">Send Money transaction initiated on Mercury</t>
        </is>
      </c>
      <c r="G27" s="2">
        <v>-3774.6</v>
      </c>
      <c r="H27" s="2">
        <v>30474.03</v>
      </c>
    </row>
    <row r="28">
      <c r="A28" s="0" t="inlineStr">
        <is>
          <t xml:space="preserve">2025-10-16</t>
        </is>
      </c>
      <c r="B28" s="0" t="inlineStr">
        <is>
          <t xml:space="preserve">Credit card</t>
        </is>
      </c>
      <c r="C28" s="0" t="inlineStr">
        <is>
          <t xml:space="preserve">Card</t>
        </is>
      </c>
      <c r="D28" s="0" t="inlineStr">
        <is>
          <t xml:space="preserve">Namecheap</t>
        </is>
      </c>
      <c r="E28" s="0" t="inlineStr">
        <is>
          <t xml:space="preserve">NAME-CHEAP.COM* MRTUUU</t>
        </is>
      </c>
      <c r="F28" s="0" t="inlineStr">
        <is>
          <t xml:space="preserve">Software</t>
        </is>
      </c>
      <c r="G28" s="2">
        <v>-80.9</v>
      </c>
    </row>
    <row r="29">
      <c r="A29" s="0" t="inlineStr">
        <is>
          <t xml:space="preserve">2025-10-21</t>
        </is>
      </c>
      <c r="B29" s="0" t="inlineStr">
        <is>
          <t xml:space="preserve">Checking ••6538</t>
        </is>
      </c>
      <c r="C29" s="0" t="inlineStr">
        <is>
          <t xml:space="preserve">Incoming ACH</t>
        </is>
      </c>
      <c r="D29" s="0" t="inlineStr">
        <is>
          <t xml:space="preserve">GOOGLE</t>
        </is>
      </c>
      <c r="E29" s="0" t="inlineStr">
        <is>
          <t xml:space="preserve">GOOGLE; YOUTUBE_PA; GCALIT LLC</t>
        </is>
      </c>
      <c r="G29" s="2">
        <v>141.39</v>
      </c>
      <c r="H29" s="2">
        <v>30615.42</v>
      </c>
    </row>
    <row r="30">
      <c r="A30" s="0" t="inlineStr">
        <is>
          <t xml:space="preserve">2025-11-12</t>
        </is>
      </c>
      <c r="B30" s="0" t="inlineStr">
        <is>
          <t xml:space="preserve">Credit card</t>
        </is>
      </c>
      <c r="C30" s="0" t="inlineStr">
        <is>
          <t xml:space="preserve">Card</t>
        </is>
      </c>
      <c r="D30" s="0" t="inlineStr">
        <is>
          <t xml:space="preserve">Mercury Checking ••6538</t>
        </is>
      </c>
      <c r="E30" s="0" t="inlineStr">
        <is>
          <t xml:space="preserve">IO AUTOPAY</t>
        </is>
      </c>
      <c r="G30" s="2">
        <v>80.9</v>
      </c>
    </row>
    <row r="31">
      <c r="A31" s="0" t="inlineStr">
        <is>
          <t xml:space="preserve">2025-11-12</t>
        </is>
      </c>
      <c r="B31" s="0" t="inlineStr">
        <is>
          <t xml:space="preserve">Checking ••6538</t>
        </is>
      </c>
      <c r="C31" s="0" t="inlineStr">
        <is>
          <t xml:space="preserve">Sent to card</t>
        </is>
      </c>
      <c r="D31" s="0" t="inlineStr">
        <is>
          <t xml:space="preserve">Mercury Credit</t>
        </is>
      </c>
      <c r="E31" s="0" t="inlineStr">
        <is>
          <t xml:space="preserve">IO AUTOPAY</t>
        </is>
      </c>
      <c r="G31" s="2">
        <v>-80.9</v>
      </c>
      <c r="H31" s="2">
        <v>30534.52</v>
      </c>
    </row>
    <row r="32">
      <c r="A32" s="0" t="inlineStr">
        <is>
          <t xml:space="preserve">2025-11-12</t>
        </is>
      </c>
      <c r="B32" s="0" t="inlineStr">
        <is>
          <t xml:space="preserve">Checking ••6538</t>
        </is>
      </c>
      <c r="C32" s="0" t="inlineStr">
        <is>
          <t xml:space="preserve">Cashback</t>
        </is>
      </c>
      <c r="D32" s="0" t="inlineStr">
        <is>
          <t xml:space="preserve">Mercury IO Cashback</t>
        </is>
      </c>
      <c r="G32" s="2">
        <v>1.21</v>
      </c>
      <c r="H32" s="2">
        <v>30535.73</v>
      </c>
    </row>
    <row r="33">
      <c r="A33" s="0" t="inlineStr">
        <is>
          <t xml:space="preserve">2025-11-21</t>
        </is>
      </c>
      <c r="B33" s="0" t="inlineStr">
        <is>
          <t xml:space="preserve">Checking ••6538</t>
        </is>
      </c>
      <c r="C33" s="0" t="inlineStr">
        <is>
          <t xml:space="preserve">Incoming ACH</t>
        </is>
      </c>
      <c r="D33" s="0" t="inlineStr">
        <is>
          <t xml:space="preserve">GOOGLE</t>
        </is>
      </c>
      <c r="E33" s="0" t="inlineStr">
        <is>
          <t xml:space="preserve">GOOGLE; YOUTUBE_PA; GCALIT LLC</t>
        </is>
      </c>
      <c r="G33" s="2">
        <v>177.84</v>
      </c>
      <c r="H33" s="2">
        <v>30713.57</v>
      </c>
    </row>
    <row r="34">
      <c r="A34" s="0" t="inlineStr">
        <is>
          <t xml:space="preserve">2025-12-02</t>
        </is>
      </c>
      <c r="B34" s="0" t="inlineStr">
        <is>
          <t xml:space="preserve">Checking ••6538</t>
        </is>
      </c>
      <c r="C34" s="0" t="inlineStr">
        <is>
          <t xml:space="preserve">Outgoing payment</t>
        </is>
      </c>
      <c r="D34" s="0" t="inlineStr">
        <is>
          <t xml:space="preserve">Google LLC</t>
        </is>
      </c>
      <c r="E34" s="0" t="inlineStr">
        <is>
          <t xml:space="preserve">Send Money transaction initiated on Mercury</t>
        </is>
      </c>
      <c r="G34" s="2">
        <v>-93.06</v>
      </c>
      <c r="H34" s="2">
        <v>30620.51</v>
      </c>
    </row>
    <row r="35">
      <c r="A35" s="0" t="inlineStr">
        <is>
          <t xml:space="preserve">2025-12-31</t>
        </is>
      </c>
      <c r="B35" s="0" t="inlineStr">
        <is>
          <t xml:space="preserve">Checking ••6538</t>
        </is>
      </c>
      <c r="C35" s="0" t="inlineStr">
        <is>
          <t xml:space="preserve">Incoming wire</t>
        </is>
      </c>
      <c r="D35" s="0" t="inlineStr">
        <is>
          <t xml:space="preserve">BLITZADS LIMITED</t>
        </is>
      </c>
      <c r="G35" s="2">
        <v>1500.0</v>
      </c>
      <c r="H35" s="2">
        <v>32120.51</v>
      </c>
    </row>
    <row r="36">
      <c r="A36" s="0" t="inlineStr">
        <is>
          <t xml:space="preserve">2026-01-02</t>
        </is>
      </c>
      <c r="B36" s="0" t="inlineStr">
        <is>
          <t xml:space="preserve">Credit card</t>
        </is>
      </c>
      <c r="C36" s="0" t="inlineStr">
        <is>
          <t xml:space="preserve">Card</t>
        </is>
      </c>
      <c r="D36" s="0" t="inlineStr">
        <is>
          <t xml:space="preserve">Namecheap</t>
        </is>
      </c>
      <c r="E36" s="0" t="inlineStr">
        <is>
          <t xml:space="preserve">NAME-CHEAP.COM* X1CNGN</t>
        </is>
      </c>
      <c r="F36" s="0" t="inlineStr">
        <is>
          <t xml:space="preserve">Software</t>
        </is>
      </c>
      <c r="G36" s="2">
        <v>-200.0</v>
      </c>
    </row>
    <row r="37">
      <c r="A37" s="0" t="inlineStr">
        <is>
          <t xml:space="preserve">2026-01-05</t>
        </is>
      </c>
      <c r="B37" s="0" t="inlineStr">
        <is>
          <t xml:space="preserve">Checking ••6538</t>
        </is>
      </c>
      <c r="C37" s="0" t="inlineStr">
        <is>
          <t xml:space="preserve">Outgoing payment</t>
        </is>
      </c>
      <c r="D37" s="0" t="inlineStr">
        <is>
          <t xml:space="preserve">Google LLC</t>
        </is>
      </c>
      <c r="E37" s="0" t="inlineStr">
        <is>
          <t xml:space="preserve">Send Money transaction initiated on Mercury</t>
        </is>
      </c>
      <c r="G37" s="2">
        <v>-1211.28</v>
      </c>
      <c r="H37" s="2">
        <v>30909.23</v>
      </c>
    </row>
    <row r="38">
      <c r="A38" s="0" t="inlineStr">
        <is>
          <t xml:space="preserve">2026-01-12</t>
        </is>
      </c>
      <c r="B38" s="0" t="inlineStr">
        <is>
          <t xml:space="preserve">Credit card</t>
        </is>
      </c>
      <c r="C38" s="0" t="inlineStr">
        <is>
          <t xml:space="preserve">Card</t>
        </is>
      </c>
      <c r="D38" s="0" t="inlineStr">
        <is>
          <t xml:space="preserve">Mercury Checking ••6538</t>
        </is>
      </c>
      <c r="E38" s="0" t="inlineStr">
        <is>
          <t xml:space="preserve">IO AUTOPAY</t>
        </is>
      </c>
      <c r="G38" s="2">
        <v>200.0</v>
      </c>
    </row>
    <row r="39">
      <c r="A39" s="0" t="inlineStr">
        <is>
          <t xml:space="preserve">2026-01-12</t>
        </is>
      </c>
      <c r="B39" s="0" t="inlineStr">
        <is>
          <t xml:space="preserve">Checking ••6538</t>
        </is>
      </c>
      <c r="C39" s="0" t="inlineStr">
        <is>
          <t xml:space="preserve">Sent to card</t>
        </is>
      </c>
      <c r="D39" s="0" t="inlineStr">
        <is>
          <t xml:space="preserve">Mercury Credit</t>
        </is>
      </c>
      <c r="E39" s="0" t="inlineStr">
        <is>
          <t xml:space="preserve">IO AUTOPAY</t>
        </is>
      </c>
      <c r="G39" s="2">
        <v>-200.0</v>
      </c>
      <c r="H39" s="2">
        <v>30709.23</v>
      </c>
    </row>
    <row r="40">
      <c r="A40" s="0" t="inlineStr">
        <is>
          <t xml:space="preserve">2026-01-12</t>
        </is>
      </c>
      <c r="B40" s="0" t="inlineStr">
        <is>
          <t xml:space="preserve">Checking ••6538</t>
        </is>
      </c>
      <c r="C40" s="0" t="inlineStr">
        <is>
          <t xml:space="preserve">Cashback</t>
        </is>
      </c>
      <c r="D40" s="0" t="inlineStr">
        <is>
          <t xml:space="preserve">Mercury IO Cashback</t>
        </is>
      </c>
      <c r="G40" s="2">
        <v>3.0</v>
      </c>
      <c r="H40" s="2">
        <v>30712.23</v>
      </c>
    </row>
    <row r="41">
      <c r="A41" s="0" t="inlineStr">
        <is>
          <t xml:space="preserve">2026-01-21</t>
        </is>
      </c>
      <c r="B41" s="0" t="inlineStr">
        <is>
          <t xml:space="preserve">Checking ••6538</t>
        </is>
      </c>
      <c r="C41" s="0" t="inlineStr">
        <is>
          <t xml:space="preserve">Incoming wire</t>
        </is>
      </c>
      <c r="D41" s="0" t="inlineStr">
        <is>
          <t xml:space="preserve">BLITZADS LIMITED</t>
        </is>
      </c>
      <c r="G41" s="2">
        <v>1284.0</v>
      </c>
      <c r="H41" s="2">
        <v>31996.23</v>
      </c>
    </row>
    <row r="42">
      <c r="A42" s="0" t="inlineStr">
        <is>
          <t xml:space="preserve">2026-02-03</t>
        </is>
      </c>
      <c r="B42" s="0" t="inlineStr">
        <is>
          <t xml:space="preserve">Credit card</t>
        </is>
      </c>
      <c r="C42" s="0" t="inlineStr">
        <is>
          <t xml:space="preserve">Card</t>
        </is>
      </c>
      <c r="D42" s="0" t="inlineStr">
        <is>
          <t xml:space="preserve">Microsoft</t>
        </is>
      </c>
      <c r="E42" s="0" t="inlineStr">
        <is>
          <t xml:space="preserve">MICROSOFT*ADS-G145KLQY</t>
        </is>
      </c>
      <c r="F42" s="0" t="inlineStr">
        <is>
          <t xml:space="preserve">Software</t>
        </is>
      </c>
      <c r="G42" s="2">
        <v>-100.0</v>
      </c>
    </row>
    <row r="43">
      <c r="A43" s="0" t="inlineStr">
        <is>
          <t xml:space="preserve">2026-02-04</t>
        </is>
      </c>
      <c r="B43" s="0" t="inlineStr">
        <is>
          <t xml:space="preserve">Checking ••6538</t>
        </is>
      </c>
      <c r="C43" s="0" t="inlineStr">
        <is>
          <t xml:space="preserve">Incoming wire</t>
        </is>
      </c>
      <c r="D43" s="0" t="inlineStr">
        <is>
          <t xml:space="preserve">SANITY ADS LIMITED</t>
        </is>
      </c>
      <c r="G43" s="2">
        <v>1285.0</v>
      </c>
      <c r="H43" s="2">
        <v>33281.23</v>
      </c>
    </row>
    <row r="44">
      <c r="A44" s="0" t="inlineStr">
        <is>
          <t xml:space="preserve">2026-02-04</t>
        </is>
      </c>
      <c r="B44" s="0" t="inlineStr">
        <is>
          <t xml:space="preserve">Checking ••6538</t>
        </is>
      </c>
      <c r="C44" s="0" t="inlineStr">
        <is>
          <t xml:space="preserve">Outgoing payment</t>
        </is>
      </c>
      <c r="D44" s="0" t="inlineStr">
        <is>
          <t xml:space="preserve">Google LLC</t>
        </is>
      </c>
      <c r="E44" s="0" t="inlineStr">
        <is>
          <t xml:space="preserve">Send Money transaction initiated on Mercury</t>
        </is>
      </c>
      <c r="G44" s="2">
        <v>-1910.93</v>
      </c>
      <c r="H44" s="2">
        <v>31370.3</v>
      </c>
    </row>
    <row r="45">
      <c r="A45" s="0" t="inlineStr">
        <is>
          <t xml:space="preserve">2026-02-05</t>
        </is>
      </c>
      <c r="B45" s="0" t="inlineStr">
        <is>
          <t xml:space="preserve">Credit card</t>
        </is>
      </c>
      <c r="C45" s="0" t="inlineStr">
        <is>
          <t xml:space="preserve">Card</t>
        </is>
      </c>
      <c r="D45" s="0" t="inlineStr">
        <is>
          <t xml:space="preserve">Microsoft</t>
        </is>
      </c>
      <c r="E45" s="0" t="inlineStr">
        <is>
          <t xml:space="preserve">MICROSOFT*ADS-G145KLQY</t>
        </is>
      </c>
      <c r="F45" s="0" t="inlineStr">
        <is>
          <t xml:space="preserve">Software</t>
        </is>
      </c>
      <c r="G45" s="2">
        <v>100.0</v>
      </c>
    </row>
    <row r="46">
      <c r="A46" s="0" t="inlineStr">
        <is>
          <t xml:space="preserve">2026-02-17</t>
        </is>
      </c>
      <c r="B46" s="0" t="inlineStr">
        <is>
          <t xml:space="preserve">Checking ••6538</t>
        </is>
      </c>
      <c r="C46" s="0" t="inlineStr">
        <is>
          <t xml:space="preserve">Outgoing payment</t>
        </is>
      </c>
      <c r="D46" s="0" t="inlineStr">
        <is>
          <t xml:space="preserve">Books &amp; Counts LLC</t>
        </is>
      </c>
      <c r="E46" s="0" t="inlineStr">
        <is>
          <t xml:space="preserve">Send Money transaction initiated on Mercury</t>
        </is>
      </c>
      <c r="G46" s="2">
        <v>-90.0</v>
      </c>
      <c r="H46" s="2">
        <v>31280.3</v>
      </c>
    </row>
    <row r="47">
      <c r="A47" s="0" t="inlineStr">
        <is>
          <t xml:space="preserve">2026-02-26</t>
        </is>
      </c>
      <c r="B47" s="0" t="inlineStr">
        <is>
          <t xml:space="preserve">Checking ••6538</t>
        </is>
      </c>
      <c r="C47" s="0" t="inlineStr">
        <is>
          <t xml:space="preserve">Incoming ACH</t>
        </is>
      </c>
      <c r="D47" s="0" t="inlineStr">
        <is>
          <t xml:space="preserve">GOOGLE</t>
        </is>
      </c>
      <c r="E47" s="0" t="inlineStr">
        <is>
          <t xml:space="preserve">GOOGLE; ACCTVERIFY; GCALIT LLC</t>
        </is>
      </c>
      <c r="G47" s="2">
        <v>0.15</v>
      </c>
      <c r="H47" s="2">
        <v>31280.45</v>
      </c>
    </row>
    <row r="48">
      <c r="A48" s="0" t="inlineStr">
        <is>
          <t xml:space="preserve">2026-03-20</t>
        </is>
      </c>
      <c r="B48" s="0" t="inlineStr">
        <is>
          <t xml:space="preserve">Checking ••6538</t>
        </is>
      </c>
      <c r="C48" s="0" t="inlineStr">
        <is>
          <t xml:space="preserve">Outgoing ACH</t>
        </is>
      </c>
      <c r="D48" s="0" t="inlineStr">
        <is>
          <t xml:space="preserve">GOOGLE</t>
        </is>
      </c>
      <c r="E48" s="0" t="inlineStr">
        <is>
          <t xml:space="preserve">GOOGLE; PURCHASE; GCALIT LLC</t>
        </is>
      </c>
      <c r="G48" s="2">
        <v>-859.57</v>
      </c>
      <c r="H48" s="2">
        <v>30420.88</v>
      </c>
    </row>
  </sheetData>
</worksheet>
</file>

<file path=xl/worksheets/sheet4.xml><?xml version="1.0" encoding="utf-8"?>
<worksheet xmlns="http://schemas.openxmlformats.org/spreadsheetml/2006/main">
  <cols>
    <col min="1" max="1" width="14.86" customWidth="1"/>
    <col min="2" max="2" width="35.14" customWidth="1"/>
    <col min="3" max="3" width="56.76" customWidth="1"/>
    <col min="4" max="4" width="20.27" customWidth="1"/>
    <col min="5" max="5" width="18.92" customWidth="1"/>
  </cols>
  <sheetData>
    <row r="1">
      <c r="A1" s="1" t="inlineStr">
        <is>
          <t xml:space="preserve">Posted</t>
        </is>
      </c>
      <c r="B1" s="1" t="inlineStr">
        <is>
          <t xml:space="preserve">Merchant</t>
        </is>
      </c>
      <c r="C1" s="1" t="inlineStr">
        <is>
          <t xml:space="preserve">Description</t>
        </is>
      </c>
      <c r="D1" s="1" t="inlineStr">
        <is>
          <t xml:space="preserve">Type</t>
        </is>
      </c>
      <c r="E1" s="1" t="inlineStr">
        <is>
          <t xml:space="preserve">Amount (USD)</t>
        </is>
      </c>
    </row>
    <row r="2">
      <c r="A2" s="0" t="inlineStr">
        <is>
          <t xml:space="preserve">2025-07-02</t>
        </is>
      </c>
      <c r="B2" s="0" t="inlineStr">
        <is>
          <t xml:space="preserve">Cs* Wyomingllcattorney</t>
        </is>
      </c>
      <c r="C2" s="0" t="inlineStr">
        <is>
          <t xml:space="preserve">CS* WYOMINGLLCATTORNEY</t>
        </is>
      </c>
      <c r="D2" s="0" t="inlineStr">
        <is>
          <t xml:space="preserve">Spend</t>
        </is>
      </c>
      <c r="E2" s="2">
        <v>-179.0</v>
      </c>
    </row>
    <row r="3">
      <c r="A3" s="0" t="inlineStr">
        <is>
          <t xml:space="preserve">2025-07-02</t>
        </is>
      </c>
      <c r="B3" s="0" t="inlineStr">
        <is>
          <t xml:space="preserve">Cs* State of Wyoming</t>
        </is>
      </c>
      <c r="C3" s="0" t="inlineStr">
        <is>
          <t xml:space="preserve">CS* STATE OF WYOMING</t>
        </is>
      </c>
      <c r="D3" s="0" t="inlineStr">
        <is>
          <t xml:space="preserve">Spend</t>
        </is>
      </c>
      <c r="E3" s="2">
        <v>-62.25</v>
      </c>
    </row>
    <row r="4">
      <c r="A4" s="0" t="inlineStr">
        <is>
          <t xml:space="preserve">2025-07-12</t>
        </is>
      </c>
      <c r="B4" s="0" t="inlineStr">
        <is>
          <t xml:space="preserve">Mercury Checking ••6538</t>
        </is>
      </c>
      <c r="C4" s="0" t="inlineStr">
        <is>
          <t xml:space="preserve">IO AUTOPAY</t>
        </is>
      </c>
      <c r="D4" s="0" t="inlineStr">
        <is>
          <t xml:space="preserve">Payment received</t>
        </is>
      </c>
      <c r="E4" s="2">
        <v>241.25</v>
      </c>
    </row>
    <row r="5">
      <c r="A5" s="0" t="inlineStr">
        <is>
          <t xml:space="preserve">2025-10-16</t>
        </is>
      </c>
      <c r="B5" s="0" t="inlineStr">
        <is>
          <t xml:space="preserve">Namecheap</t>
        </is>
      </c>
      <c r="C5" s="0" t="inlineStr">
        <is>
          <t xml:space="preserve">NAME-CHEAP.COM* MRTUUU</t>
        </is>
      </c>
      <c r="D5" s="0" t="inlineStr">
        <is>
          <t xml:space="preserve">Spend</t>
        </is>
      </c>
      <c r="E5" s="2">
        <v>-80.9</v>
      </c>
    </row>
    <row r="6">
      <c r="A6" s="0" t="inlineStr">
        <is>
          <t xml:space="preserve">2025-11-12</t>
        </is>
      </c>
      <c r="B6" s="0" t="inlineStr">
        <is>
          <t xml:space="preserve">Mercury Checking ••6538</t>
        </is>
      </c>
      <c r="C6" s="0" t="inlineStr">
        <is>
          <t xml:space="preserve">IO AUTOPAY</t>
        </is>
      </c>
      <c r="D6" s="0" t="inlineStr">
        <is>
          <t xml:space="preserve">Payment received</t>
        </is>
      </c>
      <c r="E6" s="2">
        <v>80.9</v>
      </c>
    </row>
    <row r="7">
      <c r="A7" s="0" t="inlineStr">
        <is>
          <t xml:space="preserve">2026-01-02</t>
        </is>
      </c>
      <c r="B7" s="0" t="inlineStr">
        <is>
          <t xml:space="preserve">Namecheap</t>
        </is>
      </c>
      <c r="C7" s="0" t="inlineStr">
        <is>
          <t xml:space="preserve">NAME-CHEAP.COM* X1CNGN</t>
        </is>
      </c>
      <c r="D7" s="0" t="inlineStr">
        <is>
          <t xml:space="preserve">Spend</t>
        </is>
      </c>
      <c r="E7" s="2">
        <v>-200.0</v>
      </c>
    </row>
    <row r="8">
      <c r="A8" s="0" t="inlineStr">
        <is>
          <t xml:space="preserve">2026-01-12</t>
        </is>
      </c>
      <c r="B8" s="0" t="inlineStr">
        <is>
          <t xml:space="preserve">Mercury Checking ••6538</t>
        </is>
      </c>
      <c r="C8" s="0" t="inlineStr">
        <is>
          <t xml:space="preserve">IO AUTOPAY</t>
        </is>
      </c>
      <c r="D8" s="0" t="inlineStr">
        <is>
          <t xml:space="preserve">Payment received</t>
        </is>
      </c>
      <c r="E8" s="2">
        <v>200.0</v>
      </c>
    </row>
    <row r="9">
      <c r="A9" s="0" t="inlineStr">
        <is>
          <t xml:space="preserve">2026-02-03</t>
        </is>
      </c>
      <c r="B9" s="0" t="inlineStr">
        <is>
          <t xml:space="preserve">Microsoft</t>
        </is>
      </c>
      <c r="C9" s="0" t="inlineStr">
        <is>
          <t xml:space="preserve">MICROSOFT*ADS-G145KLQY</t>
        </is>
      </c>
      <c r="D9" s="0" t="inlineStr">
        <is>
          <t xml:space="preserve">Spend</t>
        </is>
      </c>
      <c r="E9" s="2">
        <v>-100.0</v>
      </c>
    </row>
    <row r="10">
      <c r="A10" s="0" t="inlineStr">
        <is>
          <t xml:space="preserve">2026-02-05</t>
        </is>
      </c>
      <c r="B10" s="0" t="inlineStr">
        <is>
          <t xml:space="preserve">Microsoft</t>
        </is>
      </c>
      <c r="C10" s="0" t="inlineStr">
        <is>
          <t xml:space="preserve">MICROSOFT*ADS-G145KLQY</t>
        </is>
      </c>
      <c r="D10" s="0" t="inlineStr">
        <is>
          <t xml:space="preserve">Refund / reversal</t>
        </is>
      </c>
      <c r="E10" s="2">
        <v>100.0</v>
      </c>
    </row>
    <row r="11"/>
    <row r="12">
      <c r="A12" s="1" t="inlineStr">
        <is>
          <t xml:space="preserve">TOTAL CARD SPEND</t>
        </is>
      </c>
      <c r="E12" s="3">
        <f>SUMIF($D$2:$D$10,"Spend",$E$2:$E$10)</f>
        <v>-622.15</v>
      </c>
    </row>
    <row r="13">
      <c r="A13" s="0" t="inlineStr">
        <is>
          <t xml:space="preserve">TOTAL REFUNDS / REVERSALS</t>
        </is>
      </c>
      <c r="E13" s="2">
        <f>SUMIF($D$2:$D$10,"Refund / reversal",$E$2:$E$10)</f>
        <v>100.0</v>
      </c>
    </row>
    <row r="14">
      <c r="A14" s="1" t="inlineStr">
        <is>
          <t xml:space="preserve">NET CARD SPEND</t>
        </is>
      </c>
      <c r="E14" s="3">
        <f>E12+E13</f>
        <v>-522.15</v>
      </c>
    </row>
    <row r="15">
      <c r="A15" s="0" t="inlineStr">
        <is>
          <t xml:space="preserve">PAID OFF FROM THE BANK ACCOUNT</t>
        </is>
      </c>
      <c r="E15" s="2">
        <f>-Summary!D18</f>
        <v>522.15</v>
      </c>
    </row>
    <row r="16">
      <c r="A16" s="1" t="inlineStr">
        <is>
          <t xml:space="preserve">CARD BALANCE OWED AT YEAR END</t>
        </is>
      </c>
      <c r="E16" s="3">
        <f>E14+E15</f>
        <v>0.0</v>
      </c>
    </row>
  </sheetData>
</worksheet>
</file>

<file path=xl/worksheets/sheet5.xml><?xml version="1.0" encoding="utf-8"?>
<worksheet xmlns="http://schemas.openxmlformats.org/spreadsheetml/2006/main">
  <cols>
    <col min="1" max="1" width="22.97" customWidth="1"/>
    <col min="2" max="2" width="62.16" customWidth="1"/>
    <col min="3" max="3" width="18.92" customWidth="1"/>
    <col min="4" max="4" width="18.92" customWidth="1"/>
    <col min="5" max="5" width="18.92" customWidth="1"/>
    <col min="6" max="6" width="22.97" customWidth="1"/>
  </cols>
  <sheetData>
    <row r="1">
      <c r="A1" s="1" t="inlineStr">
        <is>
          <t xml:space="preserve">Route</t>
        </is>
      </c>
      <c r="B1" s="1" t="inlineStr">
        <is>
          <t xml:space="preserve">How it is derived</t>
        </is>
      </c>
      <c r="C1" s="1" t="inlineStr">
        <is>
          <t xml:space="preserve">Result</t>
        </is>
      </c>
      <c r="D1" s="1" t="inlineStr">
        <is>
          <t xml:space="preserve">Expected</t>
        </is>
      </c>
      <c r="E1" s="1" t="inlineStr">
        <is>
          <t xml:space="preserve">Difference</t>
        </is>
      </c>
      <c r="F1" s="1" t="inlineStr">
        <is>
          <t xml:space="preserve">Verdict</t>
        </is>
      </c>
    </row>
    <row r="2">
      <c r="A2" s="0" t="inlineStr">
        <is>
          <t xml:space="preserve">A — Statement</t>
        </is>
      </c>
      <c r="B2" s="0" t="inlineStr">
        <is>
          <t xml:space="preserve">Mercury statement for 01–31 Mar 2025, ending balance</t>
        </is>
      </c>
      <c r="C2" s="2">
        <v>16985.4</v>
      </c>
      <c r="D2" s="2">
        <v>16985.4</v>
      </c>
      <c r="E2" s="2">
        <v>0.0</v>
      </c>
      <c r="F2" s="0" t="inlineStr">
        <is>
          <t xml:space="preserve">AUTHORITY (opening)</t>
        </is>
      </c>
    </row>
    <row r="3">
      <c r="A3" s="0" t="inlineStr">
        <is>
          <t xml:space="preserve">A — Statement</t>
        </is>
      </c>
      <c r="B3" s="0" t="inlineStr">
        <is>
          <t xml:space="preserve">Mercury statement for 01–31 Mar 2026, ending balance</t>
        </is>
      </c>
      <c r="C3" s="2">
        <v>30420.88</v>
      </c>
      <c r="D3" s="2">
        <v>30420.88</v>
      </c>
      <c r="E3" s="2">
        <v>0.0</v>
      </c>
      <c r="F3" s="0" t="inlineStr">
        <is>
          <t xml:space="preserve">AUTHORITY (closing)</t>
        </is>
      </c>
    </row>
    <row r="4">
      <c r="A4" s="0" t="inlineStr">
        <is>
          <t xml:space="preserve">B — Back-computed</t>
        </is>
      </c>
      <c r="B4" s="0" t="inlineStr">
        <is>
          <t xml:space="preserve">Live balance today minus every transaction posted after 31 Mar 2026</t>
        </is>
      </c>
      <c r="C4" s="2">
        <f>C10-C11</f>
        <v>30420.88</v>
      </c>
      <c r="D4" s="2">
        <v>30420.88</v>
      </c>
      <c r="E4" s="2">
        <f>C4-D4</f>
        <v>0.0</v>
      </c>
      <c r="F4" s="0" t="str">
        <f>IF(E4=0,"MATCH","MISMATCH")</f>
        <v>MATCH</v>
      </c>
    </row>
    <row r="5">
      <c r="A5" s="0" t="inlineStr">
        <is>
          <t xml:space="preserve">C — Forward</t>
        </is>
      </c>
      <c r="B5" s="0" t="inlineStr">
        <is>
          <t xml:space="preserve">Opening balance plus every transaction posted inside the year</t>
        </is>
      </c>
      <c r="C5" s="2">
        <f>Summary!D2+SUM(Ledger!G2:G48)</f>
        <v>30420.88</v>
      </c>
      <c r="D5" s="2">
        <v>30420.88</v>
      </c>
      <c r="E5" s="2">
        <f>C5-D5</f>
        <v>0.0</v>
      </c>
      <c r="F5" s="0" t="str">
        <f>IF(E5=0,"MATCH","MISMATCH")</f>
        <v>MATCH</v>
      </c>
    </row>
    <row r="6">
      <c r="A6" s="0" t="inlineStr">
        <is>
          <t xml:space="preserve">D — From account opening</t>
        </is>
      </c>
      <c r="B6" s="0" t="inlineStr">
        <is>
          <t xml:space="preserve">Every transaction from the day the account opened to 31 Mar 2025</t>
        </is>
      </c>
      <c r="C6" s="2">
        <v>16985.4</v>
      </c>
      <c r="D6" s="2">
        <v>16985.4</v>
      </c>
      <c r="E6" s="2">
        <f>C6-D6</f>
        <v>0.0</v>
      </c>
      <c r="F6" s="0" t="str">
        <f>IF(E6=0,"MATCH","MISMATCH")</f>
        <v>MATCH</v>
      </c>
    </row>
    <row r="7"/>
    <row r="8">
      <c r="A8" s="0" t="inlineStr">
        <is>
          <t xml:space="preserve">E — Monthly</t>
        </is>
      </c>
      <c r="B8" s="0" t="inlineStr">
        <is>
          <t xml:space="preserve">Each of the 12 months checked against its own statement</t>
        </is>
      </c>
      <c r="F8" s="0" t="inlineStr">
        <is>
          <t xml:space="preserve">12 of 12 MATCH</t>
        </is>
      </c>
    </row>
    <row r="9"/>
    <row r="10">
      <c r="A10" s="0" t="inlineStr">
        <is>
          <t xml:space="preserve">Live balance today</t>
        </is>
      </c>
      <c r="B10" s="0" t="inlineStr">
        <is>
          <t xml:space="preserve">Sum of currentBalance on both bank accounts</t>
        </is>
      </c>
      <c r="C10" s="2">
        <v>35322.1</v>
      </c>
      <c r="F10" s="0" t="inlineStr">
        <is>
          <t xml:space="preserve">after year end</t>
        </is>
      </c>
    </row>
    <row r="11">
      <c r="A11" s="0" t="inlineStr">
        <is>
          <t xml:space="preserve">Posted after 31 Mar 2026</t>
        </is>
      </c>
      <c r="B11" s="0" t="inlineStr">
        <is>
          <t xml:space="preserve">Movement in the current year to date</t>
        </is>
      </c>
      <c r="C11" s="2">
        <v>4901.22</v>
      </c>
      <c r="F11" s="0" t="inlineStr">
        <is>
          <t xml:space="preserve">outside this report</t>
        </is>
      </c>
    </row>
    <row r="12"/>
    <row r="13">
      <c r="A13" s="0" t="inlineStr">
        <is>
          <t xml:space="preserve">EVIDENCE</t>
        </is>
      </c>
      <c r="B13" s="0" t="inlineStr">
        <is>
          <t xml:space="preserve">Each line below is computed from the raw Mercury data, not asserted</t>
        </is>
      </c>
    </row>
    <row r="14">
      <c r="A14" s="0" t="inlineStr">
        <is>
          <t xml:space="preserve">Statement / ledger bijection</t>
        </is>
      </c>
      <c r="B14" s="0" t="inlineStr">
        <is>
          <t xml:space="preserve">Transaction ids named on a Mercury statement vs ids in our pull</t>
        </is>
      </c>
      <c r="C14" s="2">
        <v>73</v>
      </c>
      <c r="D14" s="2">
        <v>73</v>
      </c>
      <c r="E14" s="2">
        <v>0.0</v>
      </c>
      <c r="F14" s="0" t="inlineStr">
        <is>
          <t xml:space="preserve">EXACT MATCH</t>
        </is>
      </c>
    </row>
    <row r="15">
      <c r="A15" s="0" t="inlineStr">
        <is>
          <t xml:space="preserve">Every statement month reproduced</t>
        </is>
      </c>
      <c r="B15" s="0" t="inlineStr">
        <is>
          <t xml:space="preserve">Ledger re-run against each statement's own ending balance</t>
        </is>
      </c>
      <c r="C15" s="2">
        <v>48</v>
      </c>
      <c r="D15" s="2">
        <v>48</v>
      </c>
      <c r="E15" s="2">
        <v>0.0</v>
      </c>
      <c r="F15" s="0" t="inlineStr">
        <is>
          <t xml:space="preserve">48 of 48 MATCH</t>
        </is>
      </c>
    </row>
    <row r="16">
      <c r="A16" s="0" t="inlineStr">
        <is>
          <t xml:space="preserve">Inception to date</t>
        </is>
      </c>
      <c r="B16" s="0" t="inlineStr">
        <is>
          <t xml:space="preserve">Every transaction since the account opened vs the live balance</t>
        </is>
      </c>
      <c r="C16" s="2">
        <v>35322.1</v>
      </c>
      <c r="D16" s="2">
        <v>35322.1</v>
      </c>
      <c r="E16" s="2">
        <v>0.0</v>
      </c>
      <c r="F16" s="0" t="inlineStr">
        <is>
          <t xml:space="preserve">MATCH</t>
        </is>
      </c>
    </row>
    <row r="17">
      <c r="A17" s="0" t="inlineStr">
        <is>
          <t xml:space="preserve">Transactions dropped from the year</t>
        </is>
      </c>
      <c r="B17" s="0" t="inlineStr">
        <is>
          <t xml:space="preserve">Rows excluded because status was not 'sent'</t>
        </is>
      </c>
      <c r="C17" s="2">
        <v>0</v>
      </c>
      <c r="D17" s="2">
        <v>0.0</v>
      </c>
      <c r="E17" s="2">
        <v>0.0</v>
      </c>
      <c r="F17" s="0" t="inlineStr">
        <is>
          <t xml:space="preserve">NONE — the 2 failed rows are both dated after 31 Mar 2026</t>
        </is>
      </c>
    </row>
    <row r="18">
      <c r="A18" s="0" t="inlineStr">
        <is>
          <t xml:space="preserve">Settled rows with no posted date</t>
        </is>
      </c>
      <c r="B18" s="0" t="inlineStr">
        <is>
          <t xml:space="preserve">Would be silently lost by a postedAt cut</t>
        </is>
      </c>
      <c r="C18" s="2">
        <v>0</v>
      </c>
      <c r="D18" s="2">
        <v>0.0</v>
      </c>
      <c r="E18" s="2">
        <v>0.0</v>
      </c>
      <c r="F18" s="0" t="inlineStr">
        <is>
          <t xml:space="preserve">NONE</t>
        </is>
      </c>
    </row>
    <row r="19">
      <c r="A19" s="0" t="inlineStr">
        <is>
          <t xml:space="preserve">Card payments mirrored</t>
        </is>
      </c>
      <c r="B19" s="0" t="inlineStr">
        <is>
          <t xml:space="preserve">Each bank-side card payment matched on the card ledger</t>
        </is>
      </c>
      <c r="C19" s="2">
        <v>4</v>
      </c>
      <c r="D19" s="2">
        <v>4</v>
      </c>
      <c r="E19" s="2">
        <v>0.0</v>
      </c>
      <c r="F19" s="0" t="inlineStr">
        <is>
          <t xml:space="preserve">4 of 4 PAIRED</t>
        </is>
      </c>
    </row>
    <row r="20">
      <c r="A20" s="0" t="inlineStr">
        <is>
          <t xml:space="preserve">Credit-card ledger nets to</t>
        </is>
      </c>
      <c r="B20" s="0" t="inlineStr">
        <is>
          <t xml:space="preserve">Card opened and closed the year at zero</t>
        </is>
      </c>
      <c r="C20" s="2">
        <v>0.0</v>
      </c>
      <c r="D20" s="2">
        <v>0.0</v>
      </c>
      <c r="E20" s="2">
        <v>0.0</v>
      </c>
      <c r="F20" s="0" t="inlineStr">
        <is>
          <t xml:space="preserve">MATCH</t>
        </is>
      </c>
    </row>
    <row r="21">
      <c r="A21" s="0" t="inlineStr">
        <is>
          <t xml:space="preserve">Year-boundary safety margin</t>
        </is>
      </c>
      <c r="B21" s="0" t="inlineStr">
        <is>
          <t xml:space="preserve">Hours between the cut and the nearest transaction either side</t>
        </is>
      </c>
      <c r="C21" s="2">
        <v>43.65</v>
      </c>
      <c r="F21" s="0" t="inlineStr">
        <is>
          <t xml:space="preserve">3x the widest timezone on earth</t>
        </is>
      </c>
    </row>
    <row r="22"/>
    <row r="23">
      <c r="A23" s="0" t="inlineStr">
        <is>
          <t xml:space="preserve">NOTED, NOT RESOLVED</t>
        </is>
      </c>
    </row>
    <row r="24">
      <c r="A24" s="0" t="inlineStr">
        <is>
          <t xml:space="preserve">Credit account has no statements</t>
        </is>
      </c>
      <c r="B24" s="0" t="inlineStr">
        <is>
          <t xml:space="preserve">Mercury issues statements for the two bank accounts only, so the card ledger has no statement-level corroboration — only the zero-sum and mirrored-payment checks above</t>
        </is>
      </c>
      <c r="F24" s="0" t="inlineStr">
        <is>
          <t xml:space="preserve">open</t>
        </is>
      </c>
    </row>
    <row r="25">
      <c r="A25" s="0" t="inlineStr">
        <is>
          <t xml:space="preserve">Card spend equals card payments</t>
        </is>
      </c>
      <c r="B25" s="0" t="inlineStr">
        <is>
          <t xml:space="preserve">True this year only because the card balance was zero at both 31 Mar 2025 and 31 Mar 2026. In a year ending with a card balance owed, the two would differ</t>
        </is>
      </c>
      <c r="F25" s="0" t="inlineStr">
        <is>
          <t xml:space="preserve">context</t>
        </is>
      </c>
    </row>
  </sheetData>
</worksheet>
</file>

<file path=xl/worksheets/sheet6.xml><?xml version="1.0" encoding="utf-8"?>
<worksheet xmlns="http://schemas.openxmlformats.org/spreadsheetml/2006/main">
  <cols>
    <col min="1" max="1" width="22.97" customWidth="1"/>
    <col min="2" max="2" width="20.27" customWidth="1"/>
    <col min="3" max="3" width="18.92" customWidth="1"/>
    <col min="4" max="4" width="18.92" customWidth="1"/>
    <col min="5" max="5" width="18.92" customWidth="1"/>
    <col min="6" max="6" width="18.92" customWidth="1"/>
  </cols>
  <sheetData>
    <row r="1">
      <c r="A1" s="1" t="inlineStr">
        <is>
          <t xml:space="preserve">Account</t>
        </is>
      </c>
      <c r="B1" s="1" t="inlineStr">
        <is>
          <t xml:space="preserve">Kind</t>
        </is>
      </c>
      <c r="C1" s="1" t="inlineStr">
        <is>
          <t xml:space="preserve">Opening 1 Apr 2025</t>
        </is>
      </c>
      <c r="D1" s="1" t="inlineStr">
        <is>
          <t xml:space="preserve">Closing 31 Mar 2026</t>
        </is>
      </c>
      <c r="E1" s="1" t="inlineStr">
        <is>
          <t xml:space="preserve">Change</t>
        </is>
      </c>
      <c r="F1" s="1" t="inlineStr">
        <is>
          <t xml:space="preserve">Balance today</t>
        </is>
      </c>
    </row>
    <row r="2">
      <c r="A2" s="0" t="inlineStr">
        <is>
          <t xml:space="preserve">Mercury Checking ••6538</t>
        </is>
      </c>
      <c r="B2" s="0" t="inlineStr">
        <is>
          <t xml:space="preserve">checking</t>
        </is>
      </c>
      <c r="C2" s="2">
        <v>16985.4</v>
      </c>
      <c r="D2" s="2">
        <v>30420.88</v>
      </c>
      <c r="E2" s="2">
        <f>D2-C2</f>
        <v>13435.48</v>
      </c>
      <c r="F2" s="2">
        <v>35322.1</v>
      </c>
    </row>
    <row r="3">
      <c r="A3" s="0" t="inlineStr">
        <is>
          <t xml:space="preserve">Mercury Savings ••7355</t>
        </is>
      </c>
      <c r="B3" s="0" t="inlineStr">
        <is>
          <t xml:space="preserve">savings</t>
        </is>
      </c>
      <c r="C3" s="2">
        <v>0.0</v>
      </c>
      <c r="D3" s="2">
        <v>0.0</v>
      </c>
      <c r="E3" s="2">
        <f>D3-C3</f>
        <v>0.0</v>
      </c>
      <c r="F3" s="2">
        <v>0.0</v>
      </c>
    </row>
    <row r="4">
      <c r="A4" s="0" t="inlineStr">
        <is>
          <t xml:space="preserve">Mercury IO credit card account</t>
        </is>
      </c>
      <c r="B4" s="0" t="inlineStr">
        <is>
          <t xml:space="preserve">credit card</t>
        </is>
      </c>
      <c r="C4" s="2">
        <v>0.0</v>
      </c>
      <c r="D4" s="2">
        <v>0.0</v>
      </c>
      <c r="E4" s="2">
        <f>D4-C4</f>
        <v>0.0</v>
      </c>
      <c r="F4" s="2">
        <v>0.0</v>
      </c>
    </row>
    <row r="5"/>
    <row r="6">
      <c r="A6" s="1" t="inlineStr">
        <is>
          <t xml:space="preserve">TOTAL BANK BALANCE</t>
        </is>
      </c>
      <c r="C6" s="3">
        <f>SUM(C2:C4)</f>
        <v>16985.4</v>
      </c>
      <c r="D6" s="3">
        <f>SUM(D2:D4)</f>
        <v>30420.88</v>
      </c>
      <c r="E6" s="3">
        <f>SUM(E2:E4)</f>
        <v>13435.48</v>
      </c>
      <c r="F6" s="3">
        <f>SUM(F2:F4)</f>
        <v>35322.1</v>
      </c>
    </row>
    <row r="7"/>
    <row r="8">
      <c r="A8" s="0" t="inlineStr">
        <is>
          <t xml:space="preserve">Cards issued</t>
        </is>
      </c>
    </row>
    <row r="9">
      <c r="A9" s="0" t="inlineStr">
        <is>
          <t xml:space="preserve">  Wyoming_Attorney</t>
        </is>
      </c>
      <c r="B9" s="0" t="inlineStr">
        <is>
          <t xml:space="preserve">credit · frozen</t>
        </is>
      </c>
    </row>
    <row r="10">
      <c r="A10" s="0" t="inlineStr">
        <is>
          <t xml:space="preserve">  WYOMING_Attorney</t>
        </is>
      </c>
      <c r="B10" s="0" t="inlineStr">
        <is>
          <t xml:space="preserve">credit · cancelled</t>
        </is>
      </c>
    </row>
    <row r="11">
      <c r="A11" s="0" t="inlineStr">
        <is>
          <t xml:space="preserve">  Duana Guye</t>
        </is>
      </c>
      <c r="B11" s="0" t="inlineStr">
        <is>
          <t xml:space="preserve">debit · cancelled</t>
        </is>
      </c>
    </row>
    <row r="12">
      <c r="A12" s="0" t="inlineStr">
        <is>
          <t xml:space="preserve">  Deboira</t>
        </is>
      </c>
      <c r="B12" s="0" t="inlineStr">
        <is>
          <t xml:space="preserve">credit · cancelled</t>
        </is>
      </c>
    </row>
    <row r="13">
      <c r="A13" s="0" t="inlineStr">
        <is>
          <t xml:space="preserve">  (no nickname)</t>
        </is>
      </c>
      <c r="B13" s="0" t="inlineStr">
        <is>
          <t xml:space="preserve">debit · frozen</t>
        </is>
      </c>
    </row>
    <row r="14">
      <c r="A14" s="0" t="inlineStr">
        <is>
          <t xml:space="preserve">  (no nickname)</t>
        </is>
      </c>
      <c r="B14" s="0" t="inlineStr">
        <is>
          <t xml:space="preserve">debit · cancelled</t>
        </is>
      </c>
    </row>
  </sheetData>
</worksheet>
</file>