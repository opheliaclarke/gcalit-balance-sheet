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eak" sheetId="2" r:id="rId2"/>
    <sheet name="Daily" sheetId="3" r:id="rId3"/>
    <sheet name="Monthly" sheetId="4" r:id="rId4"/>
    <sheet name="Ledger" sheetId="5" r:id="rId5"/>
    <sheet name="Card" sheetId="6" r:id="rId6"/>
    <sheet name="Reconciliation" sheetId="7" r:id="rId7"/>
    <sheet name="Accounts" sheetId="8" r:id="rId8"/>
  </sheets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#,##0"/>
  </numFmts>
  <fonts count="3">
    <font>
      <sz val="11"/>
      <name val="Calibri"/>
    </font>
    <font>
      <b/>
      <sz val="11"/>
      <name val="Calibri"/>
    </font>
    <font>
      <b/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/>
    <xf numFmtId="164" fontId="0" fillId="0" borderId="0" xfId="0" applyNumberFormat="1"/>
    <xf numFmtId="164" fontId="1" fillId="0" borderId="0" xfId="0" applyNumberFormat="1"/>
    <xf numFmtId="0" fontId="2" fillId="0" borderId="0" xfId="0"/>
    <xf numFmtId="165" fontId="0" fillId="0" borderId="0" xfId="0" applyNumberFormat="1"/>
    <xf numFmtId="165" fontId="1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0.54" customWidth="1"/>
    <col min="2" max="2" width="56.76" customWidth="1"/>
    <col min="3" max="3" width="14.86" customWidth="1"/>
    <col min="4" max="4" width="18.92" customWidth="1"/>
  </cols>
  <sheetData>
    <row r="1">
      <c r="A1" s="1" t="inlineStr">
        <is>
          <t xml:space="preserve">Line</t>
        </is>
      </c>
      <c r="B1" s="1" t="inlineStr">
        <is>
          <t xml:space="preserve">Detail</t>
        </is>
      </c>
      <c r="C1" s="1" t="inlineStr">
        <is>
          <t xml:space="preserve">Transactions</t>
        </is>
      </c>
      <c r="D1" s="1" t="inlineStr">
        <is>
          <t xml:space="preserve">Amount (USD)</t>
        </is>
      </c>
    </row>
    <row r="2">
      <c r="A2" s="1" t="inlineStr">
        <is>
          <t xml:space="preserve">OPENING BALANCE — 1 January 2025</t>
        </is>
      </c>
      <c r="B2" s="1" t="inlineStr">
        <is>
          <t xml:space="preserve">Mercury's own ending balance on the statement for 01–31 December 2024</t>
        </is>
      </c>
      <c r="D2" s="3">
        <v>11053.84</v>
      </c>
    </row>
    <row r="3"/>
    <row r="4">
      <c r="A4" s="0" t="inlineStr">
        <is>
          <t xml:space="preserve">MONEY IN</t>
        </is>
      </c>
    </row>
    <row r="5">
      <c r="A5" s="0" t="inlineStr">
        <is>
          <t xml:space="preserve">  Incoming wires</t>
        </is>
      </c>
      <c r="B5" s="0" t="inlineStr">
        <is>
          <t xml:space="preserve">Domestic and international client and affiliate receipts</t>
        </is>
      </c>
      <c r="C5" s="5">
        <v>13</v>
      </c>
      <c r="D5" s="2">
        <v>35757.76</v>
      </c>
    </row>
    <row r="6">
      <c r="A6" s="0" t="inlineStr">
        <is>
          <t xml:space="preserve">  Other incoming (ACH credits)</t>
        </is>
      </c>
      <c r="B6" s="0" t="inlineStr">
        <is>
          <t xml:space="preserve">YouTube partner payments, an affiliate ACH credit and account-verification micro-deposits</t>
        </is>
      </c>
      <c r="C6" s="5">
        <v>7</v>
      </c>
      <c r="D6" s="2">
        <v>967.47</v>
      </c>
    </row>
    <row r="7">
      <c r="A7" s="0" t="inlineStr">
        <is>
          <t xml:space="preserve">  Mercury IO card cashback</t>
        </is>
      </c>
      <c r="B7" s="0" t="inlineStr">
        <is>
          <t xml:space="preserve">Cashback credited to the checking account</t>
        </is>
      </c>
      <c r="C7" s="5">
        <v>2</v>
      </c>
      <c r="D7" s="2">
        <v>4.82</v>
      </c>
    </row>
    <row r="8">
      <c r="A8" s="1" t="inlineStr">
        <is>
          <t xml:space="preserve">TOTAL MONEY IN</t>
        </is>
      </c>
      <c r="C8" s="6">
        <f>SUM(C5:C7)</f>
        <v>22</v>
      </c>
      <c r="D8" s="3">
        <f>SUM(D5:D7)</f>
        <v>36730.05</v>
      </c>
    </row>
    <row r="9"/>
    <row r="10">
      <c r="A10" s="0" t="inlineStr">
        <is>
          <t xml:space="preserve">MONEY OUT</t>
        </is>
      </c>
    </row>
    <row r="11">
      <c r="A11" s="0" t="inlineStr">
        <is>
          <t xml:space="preserve">  Outgoing payments</t>
        </is>
      </c>
      <c r="B11" s="0" t="inlineStr">
        <is>
          <t xml:space="preserve">Google Ads invoices, accountancy and platform fees</t>
        </is>
      </c>
      <c r="C11" s="5">
        <v>9</v>
      </c>
      <c r="D11" s="2">
        <v>-15341.23</v>
      </c>
    </row>
    <row r="12">
      <c r="A12" s="0" t="inlineStr">
        <is>
          <t xml:space="preserve">  Sent to the Mercury IO card</t>
        </is>
      </c>
      <c r="B12" s="0" t="inlineStr">
        <is>
          <t xml:space="preserve">Autopay moving cash out of the bank to settle the credit card</t>
        </is>
      </c>
      <c r="C12" s="5">
        <v>2</v>
      </c>
      <c r="D12" s="2">
        <v>-322.15</v>
      </c>
    </row>
    <row r="13">
      <c r="A13" s="1" t="inlineStr">
        <is>
          <t xml:space="preserve">TOTAL MONEY OUT</t>
        </is>
      </c>
      <c r="B13" s="1" t="inlineStr">
        <is>
          <t xml:space="preserve">Every dollar that left the bank, card payments included</t>
        </is>
      </c>
      <c r="C13" s="6">
        <f>SUM(C11:C12)</f>
        <v>11</v>
      </c>
      <c r="D13" s="3">
        <f>SUM(D11:D12)</f>
        <v>-15663.38</v>
      </c>
    </row>
    <row r="14"/>
    <row r="15">
      <c r="A15" s="1" t="inlineStr">
        <is>
          <t xml:space="preserve">NET CHANGE FOR THE YEAR</t>
        </is>
      </c>
      <c r="B15" s="1" t="inlineStr">
        <is>
          <t xml:space="preserve">Total money in less total money out</t>
        </is>
      </c>
      <c r="C15" s="6">
        <v>33</v>
      </c>
      <c r="D15" s="3">
        <f>D8+D13</f>
        <v>21066.67</v>
      </c>
    </row>
    <row r="16"/>
    <row r="17">
      <c r="A17" s="1" t="inlineStr">
        <is>
          <t xml:space="preserve">CLOSING BALANCE — 31 December 2025</t>
        </is>
      </c>
      <c r="B17" s="1" t="inlineStr">
        <is>
          <t xml:space="preserve">Mercury's own ending balance on the statement for 01–31 December 2025</t>
        </is>
      </c>
      <c r="D17" s="3">
        <f>D2+D15</f>
        <v>32120.51</v>
      </c>
    </row>
    <row r="18"/>
    <row r="19">
      <c r="A19" s="1" t="inlineStr">
        <is>
          <t xml:space="preserve">PEAK BALANCE — 31 July 2025</t>
        </is>
      </c>
      <c r="B19" s="1" t="inlineStr">
        <is>
          <t xml:space="preserve">Highest balance held at any point in 2025 — the maximum of the Daily sheet</t>
        </is>
      </c>
      <c r="D19" s="3">
        <f>MAX(Daily!E2:E366)</f>
        <v>35157.93</v>
      </c>
    </row>
    <row r="20"/>
    <row r="21">
      <c r="A21" s="0" t="inlineStr">
        <is>
          <t xml:space="preserve">Total expense incurred in 2025</t>
        </is>
      </c>
      <c r="B21" s="0" t="inlineStr">
        <is>
          <t xml:space="preserve">Outgoing payments plus what the card itself spent — see the Reconciliation sheet</t>
        </is>
      </c>
      <c r="C21" s="5">
        <v>12</v>
      </c>
      <c r="D21" s="2">
        <v>-15663.38</v>
      </c>
    </row>
  </sheetData>
</worksheet>
</file>

<file path=xl/worksheets/sheet2.xml><?xml version="1.0" encoding="utf-8"?>
<worksheet xmlns="http://schemas.openxmlformats.org/spreadsheetml/2006/main">
  <cols>
    <col min="1" max="1" width="34.73" customWidth="1"/>
    <col min="2" max="2" width="56.76" customWidth="1"/>
    <col min="3" max="3" width="32.84" customWidth="1"/>
    <col min="4" max="4" width="18.92" customWidth="1"/>
  </cols>
  <sheetData>
    <row r="1">
      <c r="A1" s="1" t="inlineStr">
        <is>
          <t xml:space="preserve">Measure</t>
        </is>
      </c>
      <c r="B1" s="1" t="inlineStr">
        <is>
          <t xml:space="preserve">Detail</t>
        </is>
      </c>
      <c r="C1" s="1" t="inlineStr">
        <is>
          <t xml:space="preserve">Date</t>
        </is>
      </c>
      <c r="D1" s="1" t="inlineStr">
        <is>
          <t xml:space="preserve">Amount (USD)</t>
        </is>
      </c>
    </row>
    <row r="2">
      <c r="A2" s="1" t="inlineStr">
        <is>
          <t xml:space="preserve">PEAK BALANCE</t>
        </is>
      </c>
      <c r="B2" s="1" t="inlineStr">
        <is>
          <t xml:space="preserve">Highest end-of-day balance across all 365 days of 2025</t>
        </is>
      </c>
      <c r="C2" s="1" t="inlineStr">
        <is>
          <t xml:space="preserve">31 July 2025</t>
        </is>
      </c>
      <c r="D2" s="3">
        <f>MAX(Daily!E2:E366)</f>
        <v>35157.93</v>
      </c>
    </row>
    <row r="3"/>
    <row r="4">
      <c r="A4" s="0" t="inlineStr">
        <is>
          <t xml:space="preserve">Reached on</t>
        </is>
      </c>
      <c r="B4" s="0" t="inlineStr">
        <is>
          <t xml:space="preserve">The day the balance first closed at that figure</t>
        </is>
      </c>
      <c r="C4" s="0" t="inlineStr">
        <is>
          <t xml:space="preserve">31 July 2025</t>
        </is>
      </c>
      <c r="D4" s="2">
        <f>D2</f>
        <v>35157.93</v>
      </c>
    </row>
    <row r="5">
      <c r="A5" s="0" t="inlineStr">
        <is>
          <t xml:space="preserve">Held until</t>
        </is>
      </c>
      <c r="B5" s="0" t="inlineStr">
        <is>
          <t xml:space="preserve">It stayed there for 4 days; the next movement was the first debit after it</t>
        </is>
      </c>
      <c r="C5" s="0" t="inlineStr">
        <is>
          <t xml:space="preserve">3 August 2025</t>
        </is>
      </c>
      <c r="D5" s="2">
        <f>D2</f>
        <v>35157.93</v>
      </c>
    </row>
    <row r="6">
      <c r="A6" s="0" t="inlineStr">
        <is>
          <t xml:space="preserve">Tipped to the peak by</t>
        </is>
      </c>
      <c r="B6" s="0" t="inlineStr">
        <is>
          <t xml:space="preserve">CLICKSTACK LTD. — Incoming wire (international). The marginal credit that set the exact maximum, not what built it.</t>
        </is>
      </c>
      <c r="C6" s="0" t="inlineStr">
        <is>
          <t xml:space="preserve">31 July 2025</t>
        </is>
      </c>
      <c r="D6" s="2">
        <v>750.0</v>
      </c>
    </row>
    <row r="7">
      <c r="A7" s="0" t="inlineStr">
        <is>
          <t xml:space="preserve">Balance immediately before</t>
        </is>
      </c>
      <c r="B7" s="0" t="inlineStr">
        <is>
          <t xml:space="preserve">Where the balance stood the moment before that credit landed</t>
        </is>
      </c>
      <c r="C7" s="0" t="inlineStr">
        <is>
          <t xml:space="preserve">31 July 2025</t>
        </is>
      </c>
      <c r="D7" s="2">
        <f>D2-D6</f>
        <v>34407.93</v>
      </c>
    </row>
    <row r="8">
      <c r="A8" s="0" t="inlineStr">
        <is>
          <t xml:space="preserve">Next movement after the peak</t>
        </is>
      </c>
      <c r="B8" s="0" t="inlineStr">
        <is>
          <t xml:space="preserve">Google LLC — Outgoing payment</t>
        </is>
      </c>
      <c r="C8" s="0" t="inlineStr">
        <is>
          <t xml:space="preserve">4 August 2025</t>
        </is>
      </c>
      <c r="D8" s="2">
        <v>-6600.54</v>
      </c>
    </row>
    <row r="9">
      <c r="A9" s="0" t="inlineStr">
        <is>
          <t xml:space="preserve">Balance after that movement</t>
        </is>
      </c>
      <c r="B9" s="0" t="inlineStr">
        <is>
          <t xml:space="preserve">Where the balance sat once the peak broke</t>
        </is>
      </c>
      <c r="C9" s="0" t="inlineStr">
        <is>
          <t xml:space="preserve">4 August 2025</t>
        </is>
      </c>
      <c r="D9" s="2">
        <f>D2+D8</f>
        <v>28557.39</v>
      </c>
    </row>
    <row r="10"/>
    <row r="11">
      <c r="A11" s="0" t="inlineStr">
        <is>
          <t xml:space="preserve">Intra-day high</t>
        </is>
      </c>
      <c r="B11" s="0" t="inlineStr">
        <is>
          <t xml:space="preserve">Highest point at any moment, in Mercury's own posting order — the same figure</t>
        </is>
      </c>
      <c r="C11" s="0" t="inlineStr">
        <is>
          <t xml:space="preserve">31 July 2025</t>
        </is>
      </c>
      <c r="D11" s="2">
        <f>D2</f>
        <v>35157.93</v>
      </c>
    </row>
    <row r="12"/>
    <row r="13">
      <c r="A13" s="0" t="inlineStr">
        <is>
          <t xml:space="preserve">Lowest balance of the year</t>
        </is>
      </c>
      <c r="B13" s="0" t="inlineStr">
        <is>
          <t xml:space="preserve">Held 6 days — and it is the opening balance: no day closed below where the year began</t>
        </is>
      </c>
      <c r="C13" s="0" t="inlineStr">
        <is>
          <t xml:space="preserve">1 January 2025 – 6 January 2025</t>
        </is>
      </c>
      <c r="D13" s="2">
        <f>MIN(Daily!E2:E366)</f>
        <v>11053.84</v>
      </c>
    </row>
    <row r="14">
      <c r="A14" s="0" t="inlineStr">
        <is>
          <t xml:space="preserve">Average daily balance</t>
        </is>
      </c>
      <c r="B14" s="0" t="inlineStr">
        <is>
          <t xml:space="preserve">Mean of all 365 end-of-day balances</t>
        </is>
      </c>
      <c r="C14" s="0" t="inlineStr">
        <is>
          <t xml:space="preserve">1 Jan – 31 Dec 2025</t>
        </is>
      </c>
      <c r="D14" s="2">
        <f>AVERAGE(Daily!E2:E366)</f>
        <v>26110.17</v>
      </c>
    </row>
    <row r="15">
      <c r="A15" s="0" t="inlineStr">
        <is>
          <t xml:space="preserve">Opening balance</t>
        </is>
      </c>
      <c r="B15" s="0" t="inlineStr">
        <is>
          <t xml:space="preserve">1 January 2025</t>
        </is>
      </c>
      <c r="C15" s="0" t="inlineStr">
        <is>
          <t xml:space="preserve">1 January 2025</t>
        </is>
      </c>
      <c r="D15" s="2">
        <f>Summary!D2</f>
        <v>11053.84</v>
      </c>
    </row>
    <row r="16">
      <c r="A16" s="0" t="inlineStr">
        <is>
          <t xml:space="preserve">Closing balance</t>
        </is>
      </c>
      <c r="B16" s="0" t="inlineStr">
        <is>
          <t xml:space="preserve">31 December 2025</t>
        </is>
      </c>
      <c r="C16" s="0" t="inlineStr">
        <is>
          <t xml:space="preserve">31 December 2025</t>
        </is>
      </c>
      <c r="D16" s="2">
        <f>Summary!D17</f>
        <v>32120.51</v>
      </c>
    </row>
    <row r="17">
      <c r="A17" s="0" t="inlineStr">
        <is>
          <t xml:space="preserve">Peak above closing</t>
        </is>
      </c>
      <c r="B17" s="0" t="inlineStr">
        <is>
          <t xml:space="preserve">How far the peak sat above where the year ended</t>
        </is>
      </c>
      <c r="D17" s="2">
        <f>D2-D16</f>
        <v>3037.42</v>
      </c>
    </row>
    <row r="18">
      <c r="A18" s="0" t="inlineStr">
        <is>
          <t xml:space="preserve">Peak above opening</t>
        </is>
      </c>
      <c r="B18" s="0" t="inlineStr">
        <is>
          <t xml:space="preserve">How far the peak sat above where the year began</t>
        </is>
      </c>
      <c r="D18" s="2">
        <f>D2-D15</f>
        <v>24104.09</v>
      </c>
    </row>
    <row r="19"/>
    <row r="20">
      <c r="A20" s="0" t="inlineStr">
        <is>
          <t xml:space="preserve">Days closing at or above $35,000</t>
        </is>
      </c>
      <c r="B20" s="0" t="inlineStr">
        <is>
          <t xml:space="preserve">How many of the 365 days closed at or above that level</t>
        </is>
      </c>
      <c r="C20" s="0" t="inlineStr">
        <is>
          <t xml:space="preserve">4 days</t>
        </is>
      </c>
    </row>
    <row r="21">
      <c r="A21" s="0" t="inlineStr">
        <is>
          <t xml:space="preserve">Days closing at or above $30,000</t>
        </is>
      </c>
      <c r="C21" s="0" t="inlineStr">
        <is>
          <t xml:space="preserve">146 days</t>
        </is>
      </c>
    </row>
    <row r="22">
      <c r="A22" s="0" t="inlineStr">
        <is>
          <t xml:space="preserve">Days closing at or above $25,000</t>
        </is>
      </c>
      <c r="C22" s="0" t="inlineStr">
        <is>
          <t xml:space="preserve">274 days</t>
        </is>
      </c>
    </row>
    <row r="23"/>
    <row r="24">
      <c r="A24" s="1" t="inlineStr">
        <is>
          <t xml:space="preserve">WHICH CLOCK THIS IS ON</t>
        </is>
      </c>
      <c r="B24" s="1" t="inlineStr">
        <is>
          <t xml:space="preserve">Every date here is UTC — the clock all 24 of Mercury's own statements reconcile on</t>
        </is>
      </c>
    </row>
    <row r="25">
      <c r="A25" s="0" t="inlineStr">
        <is>
          <t xml:space="preserve">  Margin at the start of the year</t>
        </is>
      </c>
      <c r="B25" s="0" t="inlineStr">
        <is>
          <t xml:space="preserve">Hours between 1 Jan 2025 00:00 UTC and the nearest transaction either side</t>
        </is>
      </c>
      <c r="C25" s="0" t="inlineStr">
        <is>
          <t xml:space="preserve">163.57 hours</t>
        </is>
      </c>
    </row>
    <row r="26">
      <c r="A26" s="0" t="inlineStr">
        <is>
          <t xml:space="preserve">  Margin at the end of the year</t>
        </is>
      </c>
      <c r="B26" s="0" t="inlineStr">
        <is>
          <t xml:space="preserve">Hours to the nearest transaction either side — wider than any timezone, so the closing balance is the same on every clock</t>
        </is>
      </c>
      <c r="C26" s="0" t="inlineStr">
        <is>
          <t xml:space="preserve">12.01 hours</t>
        </is>
      </c>
    </row>
    <row r="27">
      <c r="A27" s="1" t="inlineStr">
        <is>
          <t xml:space="preserve">  Margin on the PEAK DATE</t>
        </is>
      </c>
      <c r="B27" s="1" t="inlineStr">
        <is>
          <t xml:space="preserve">The peak AMOUNT is the same on any clock, the DATE is not — see the Reconciliation sheet</t>
        </is>
      </c>
      <c r="C27" s="1" t="inlineStr">
        <is>
          <t xml:space="preserve">2.03 hours</t>
        </is>
      </c>
    </row>
    <row r="28"/>
    <row r="29">
      <c r="A29" s="1" t="inlineStr">
        <is>
          <t xml:space="preserve">PEAK BY MONTH</t>
        </is>
      </c>
      <c r="B29" s="1" t="inlineStr">
        <is>
          <t xml:space="preserve">Highest end-of-day balance inside each month</t>
        </is>
      </c>
    </row>
    <row r="30">
      <c r="A30" s="0" t="inlineStr">
        <is>
          <t xml:space="preserve">  January 2025</t>
        </is>
      </c>
      <c r="C30" s="0" t="inlineStr">
        <is>
          <t xml:space="preserve">7 January 2025</t>
        </is>
      </c>
      <c r="D30" s="2">
        <f>MAX(Daily!E2:E32)</f>
        <v>13303.84</v>
      </c>
    </row>
    <row r="31">
      <c r="A31" s="0" t="inlineStr">
        <is>
          <t xml:space="preserve">  February 2025</t>
        </is>
      </c>
      <c r="C31" s="0" t="inlineStr">
        <is>
          <t xml:space="preserve">1 February 2025</t>
        </is>
      </c>
      <c r="D31" s="2">
        <f>MAX(Daily!E33:E60)</f>
        <v>13303.84</v>
      </c>
    </row>
    <row r="32">
      <c r="A32" s="0" t="inlineStr">
        <is>
          <t xml:space="preserve">  March 2025</t>
        </is>
      </c>
      <c r="C32" s="0" t="inlineStr">
        <is>
          <t xml:space="preserve">26 March 2025</t>
        </is>
      </c>
      <c r="D32" s="2">
        <f>MAX(Daily!E61:E91)</f>
        <v>16985.4</v>
      </c>
    </row>
    <row r="33">
      <c r="A33" s="0" t="inlineStr">
        <is>
          <t xml:space="preserve">  April 2025</t>
        </is>
      </c>
      <c r="C33" s="0" t="inlineStr">
        <is>
          <t xml:space="preserve">7 April 2025</t>
        </is>
      </c>
      <c r="D33" s="2">
        <f>MAX(Daily!E92:E121)</f>
        <v>28997.24</v>
      </c>
    </row>
    <row r="34">
      <c r="A34" s="0" t="inlineStr">
        <is>
          <t xml:space="preserve">  May 2025</t>
        </is>
      </c>
      <c r="C34" s="0" t="inlineStr">
        <is>
          <t xml:space="preserve">1 May 2025</t>
        </is>
      </c>
      <c r="D34" s="2">
        <f>MAX(Daily!E122:E152)</f>
        <v>28996.2</v>
      </c>
    </row>
    <row r="35">
      <c r="A35" s="0" t="inlineStr">
        <is>
          <t xml:space="preserve">  June 2025</t>
        </is>
      </c>
      <c r="C35" s="0" t="inlineStr">
        <is>
          <t xml:space="preserve">27 June 2025</t>
        </is>
      </c>
      <c r="D35" s="2">
        <f>MAX(Daily!E153:E182)</f>
        <v>29323.2</v>
      </c>
    </row>
    <row r="36">
      <c r="A36" s="1" t="inlineStr">
        <is>
          <t xml:space="preserve">  July 2025</t>
        </is>
      </c>
      <c r="C36" s="1" t="inlineStr">
        <is>
          <t xml:space="preserve">31 July 2025</t>
        </is>
      </c>
      <c r="D36" s="3">
        <f>MAX(Daily!E183:E213)</f>
        <v>35157.93</v>
      </c>
    </row>
    <row r="37">
      <c r="A37" s="1" t="inlineStr">
        <is>
          <t xml:space="preserve">  August 2025</t>
        </is>
      </c>
      <c r="C37" s="1" t="inlineStr">
        <is>
          <t xml:space="preserve">1 August 2025</t>
        </is>
      </c>
      <c r="D37" s="3">
        <f>MAX(Daily!E214:E244)</f>
        <v>35157.93</v>
      </c>
    </row>
    <row r="38">
      <c r="A38" s="0" t="inlineStr">
        <is>
          <t xml:space="preserve">  September 2025</t>
        </is>
      </c>
      <c r="C38" s="0" t="inlineStr">
        <is>
          <t xml:space="preserve">22 September 2025</t>
        </is>
      </c>
      <c r="D38" s="2">
        <f>MAX(Daily!E245:E274)</f>
        <v>34248.63</v>
      </c>
    </row>
    <row r="39">
      <c r="A39" s="0" t="inlineStr">
        <is>
          <t xml:space="preserve">  October 2025</t>
        </is>
      </c>
      <c r="C39" s="0" t="inlineStr">
        <is>
          <t xml:space="preserve">1 October 2025</t>
        </is>
      </c>
      <c r="D39" s="2">
        <f>MAX(Daily!E275:E305)</f>
        <v>34248.63</v>
      </c>
    </row>
    <row r="40">
      <c r="A40" s="0" t="inlineStr">
        <is>
          <t xml:space="preserve">  November 2025</t>
        </is>
      </c>
      <c r="C40" s="0" t="inlineStr">
        <is>
          <t xml:space="preserve">21 November 2025</t>
        </is>
      </c>
      <c r="D40" s="2">
        <f>MAX(Daily!E306:E335)</f>
        <v>30713.57</v>
      </c>
    </row>
    <row r="41">
      <c r="A41" s="0" t="inlineStr">
        <is>
          <t xml:space="preserve">  December 2025</t>
        </is>
      </c>
      <c r="C41" s="0" t="inlineStr">
        <is>
          <t xml:space="preserve">31 December 2025</t>
        </is>
      </c>
      <c r="D41" s="2">
        <f>MAX(Daily!E336:E366)</f>
        <v>32120.51</v>
      </c>
    </row>
  </sheetData>
</worksheet>
</file>

<file path=xl/worksheets/sheet3.xml><?xml version="1.0" encoding="utf-8"?>
<worksheet xmlns="http://schemas.openxmlformats.org/spreadsheetml/2006/main">
  <cols>
    <col min="1" max="1" width="14.86" customWidth="1"/>
    <col min="2" max="2" width="16.22" customWidth="1"/>
    <col min="3" max="3" width="10.81" customWidth="1"/>
    <col min="4" max="4" width="18.92" customWidth="1"/>
    <col min="5" max="5" width="18.92" customWidth="1"/>
    <col min="6" max="6" width="16.22" customWidth="1"/>
  </cols>
  <sheetData>
    <row r="1">
      <c r="A1" s="1" t="inlineStr">
        <is>
          <t xml:space="preserve">Date</t>
        </is>
      </c>
      <c r="B1" s="1" t="inlineStr">
        <is>
          <t xml:space="preserve">Day</t>
        </is>
      </c>
      <c r="C1" s="1" t="inlineStr">
        <is>
          <t xml:space="preserve">Movements</t>
        </is>
      </c>
      <c r="D1" s="1" t="inlineStr">
        <is>
          <t xml:space="preserve">Moved that day (USD)</t>
        </is>
      </c>
      <c r="E1" s="1" t="inlineStr">
        <is>
          <t xml:space="preserve">End-of-day balance (USD)</t>
        </is>
      </c>
      <c r="F1" s="1" t="inlineStr">
        <is>
          <t xml:space="preserve">Note</t>
        </is>
      </c>
    </row>
    <row r="2">
      <c r="A2" s="0" t="inlineStr">
        <is>
          <t xml:space="preserve">2025-01-01</t>
        </is>
      </c>
      <c r="B2" s="0" t="inlineStr">
        <is>
          <t xml:space="preserve">Wed</t>
        </is>
      </c>
      <c r="C2" s="5">
        <v>0</v>
      </c>
      <c r="E2" s="2">
        <f>Summary!D2+D2</f>
        <v>11053.84</v>
      </c>
      <c r="F2" s="0" t="inlineStr">
        <is>
          <t xml:space="preserve">LOW</t>
        </is>
      </c>
    </row>
    <row r="3">
      <c r="A3" s="0" t="inlineStr">
        <is>
          <t xml:space="preserve">2025-01-02</t>
        </is>
      </c>
      <c r="B3" s="0" t="inlineStr">
        <is>
          <t xml:space="preserve">Thu</t>
        </is>
      </c>
      <c r="C3" s="5">
        <v>0</v>
      </c>
      <c r="E3" s="2">
        <f>E2+D3</f>
        <v>11053.84</v>
      </c>
      <c r="F3" s="0" t="inlineStr">
        <is>
          <t xml:space="preserve">low held</t>
        </is>
      </c>
    </row>
    <row r="4">
      <c r="A4" s="0" t="inlineStr">
        <is>
          <t xml:space="preserve">2025-01-03</t>
        </is>
      </c>
      <c r="B4" s="0" t="inlineStr">
        <is>
          <t xml:space="preserve">Fri</t>
        </is>
      </c>
      <c r="C4" s="5">
        <v>0</v>
      </c>
      <c r="E4" s="2">
        <f>E3+D4</f>
        <v>11053.84</v>
      </c>
      <c r="F4" s="0" t="inlineStr">
        <is>
          <t xml:space="preserve">low held</t>
        </is>
      </c>
    </row>
    <row r="5">
      <c r="A5" s="0" t="inlineStr">
        <is>
          <t xml:space="preserve">2025-01-04</t>
        </is>
      </c>
      <c r="B5" s="0" t="inlineStr">
        <is>
          <t xml:space="preserve">Sat</t>
        </is>
      </c>
      <c r="C5" s="5">
        <v>0</v>
      </c>
      <c r="E5" s="2">
        <f>E4+D5</f>
        <v>11053.84</v>
      </c>
      <c r="F5" s="0" t="inlineStr">
        <is>
          <t xml:space="preserve">low held</t>
        </is>
      </c>
    </row>
    <row r="6">
      <c r="A6" s="0" t="inlineStr">
        <is>
          <t xml:space="preserve">2025-01-05</t>
        </is>
      </c>
      <c r="B6" s="0" t="inlineStr">
        <is>
          <t xml:space="preserve">Sun</t>
        </is>
      </c>
      <c r="C6" s="5">
        <v>0</v>
      </c>
      <c r="E6" s="2">
        <f>E5+D6</f>
        <v>11053.84</v>
      </c>
      <c r="F6" s="0" t="inlineStr">
        <is>
          <t xml:space="preserve">low held</t>
        </is>
      </c>
    </row>
    <row r="7">
      <c r="A7" s="0" t="inlineStr">
        <is>
          <t xml:space="preserve">2025-01-06</t>
        </is>
      </c>
      <c r="B7" s="0" t="inlineStr">
        <is>
          <t xml:space="preserve">Mon</t>
        </is>
      </c>
      <c r="C7" s="5">
        <v>0</v>
      </c>
      <c r="E7" s="2">
        <f>E6+D7</f>
        <v>11053.84</v>
      </c>
      <c r="F7" s="0" t="inlineStr">
        <is>
          <t xml:space="preserve">low held</t>
        </is>
      </c>
    </row>
    <row r="8">
      <c r="A8" s="0" t="inlineStr">
        <is>
          <t xml:space="preserve">2025-01-07</t>
        </is>
      </c>
      <c r="B8" s="0" t="inlineStr">
        <is>
          <t xml:space="preserve">Tue</t>
        </is>
      </c>
      <c r="C8" s="5">
        <v>1</v>
      </c>
      <c r="D8" s="2">
        <v>2250.0</v>
      </c>
      <c r="E8" s="2">
        <f>E7+D8</f>
        <v>13303.84</v>
      </c>
    </row>
    <row r="9">
      <c r="A9" s="0" t="inlineStr">
        <is>
          <t xml:space="preserve">2025-01-08</t>
        </is>
      </c>
      <c r="B9" s="0" t="inlineStr">
        <is>
          <t xml:space="preserve">Wed</t>
        </is>
      </c>
      <c r="C9" s="5">
        <v>0</v>
      </c>
      <c r="E9" s="2">
        <f>E8+D9</f>
        <v>13303.84</v>
      </c>
    </row>
    <row r="10">
      <c r="A10" s="0" t="inlineStr">
        <is>
          <t xml:space="preserve">2025-01-09</t>
        </is>
      </c>
      <c r="B10" s="0" t="inlineStr">
        <is>
          <t xml:space="preserve">Thu</t>
        </is>
      </c>
      <c r="C10" s="5">
        <v>0</v>
      </c>
      <c r="E10" s="2">
        <f>E9+D10</f>
        <v>13303.84</v>
      </c>
    </row>
    <row r="11">
      <c r="A11" s="0" t="inlineStr">
        <is>
          <t xml:space="preserve">2025-01-10</t>
        </is>
      </c>
      <c r="B11" s="0" t="inlineStr">
        <is>
          <t xml:space="preserve">Fri</t>
        </is>
      </c>
      <c r="C11" s="5">
        <v>0</v>
      </c>
      <c r="E11" s="2">
        <f>E10+D11</f>
        <v>13303.84</v>
      </c>
    </row>
    <row r="12">
      <c r="A12" s="0" t="inlineStr">
        <is>
          <t xml:space="preserve">2025-01-11</t>
        </is>
      </c>
      <c r="B12" s="0" t="inlineStr">
        <is>
          <t xml:space="preserve">Sat</t>
        </is>
      </c>
      <c r="C12" s="5">
        <v>0</v>
      </c>
      <c r="E12" s="2">
        <f>E11+D12</f>
        <v>13303.84</v>
      </c>
    </row>
    <row r="13">
      <c r="A13" s="0" t="inlineStr">
        <is>
          <t xml:space="preserve">2025-01-12</t>
        </is>
      </c>
      <c r="B13" s="0" t="inlineStr">
        <is>
          <t xml:space="preserve">Sun</t>
        </is>
      </c>
      <c r="C13" s="5">
        <v>0</v>
      </c>
      <c r="E13" s="2">
        <f>E12+D13</f>
        <v>13303.84</v>
      </c>
    </row>
    <row r="14">
      <c r="A14" s="0" t="inlineStr">
        <is>
          <t xml:space="preserve">2025-01-13</t>
        </is>
      </c>
      <c r="B14" s="0" t="inlineStr">
        <is>
          <t xml:space="preserve">Mon</t>
        </is>
      </c>
      <c r="C14" s="5">
        <v>0</v>
      </c>
      <c r="E14" s="2">
        <f>E13+D14</f>
        <v>13303.84</v>
      </c>
    </row>
    <row r="15">
      <c r="A15" s="0" t="inlineStr">
        <is>
          <t xml:space="preserve">2025-01-14</t>
        </is>
      </c>
      <c r="B15" s="0" t="inlineStr">
        <is>
          <t xml:space="preserve">Tue</t>
        </is>
      </c>
      <c r="C15" s="5">
        <v>0</v>
      </c>
      <c r="E15" s="2">
        <f>E14+D15</f>
        <v>13303.84</v>
      </c>
    </row>
    <row r="16">
      <c r="A16" s="0" t="inlineStr">
        <is>
          <t xml:space="preserve">2025-01-15</t>
        </is>
      </c>
      <c r="B16" s="0" t="inlineStr">
        <is>
          <t xml:space="preserve">Wed</t>
        </is>
      </c>
      <c r="C16" s="5">
        <v>0</v>
      </c>
      <c r="E16" s="2">
        <f>E15+D16</f>
        <v>13303.84</v>
      </c>
    </row>
    <row r="17">
      <c r="A17" s="0" t="inlineStr">
        <is>
          <t xml:space="preserve">2025-01-16</t>
        </is>
      </c>
      <c r="B17" s="0" t="inlineStr">
        <is>
          <t xml:space="preserve">Thu</t>
        </is>
      </c>
      <c r="C17" s="5">
        <v>0</v>
      </c>
      <c r="E17" s="2">
        <f>E16+D17</f>
        <v>13303.84</v>
      </c>
    </row>
    <row r="18">
      <c r="A18" s="0" t="inlineStr">
        <is>
          <t xml:space="preserve">2025-01-17</t>
        </is>
      </c>
      <c r="B18" s="0" t="inlineStr">
        <is>
          <t xml:space="preserve">Fri</t>
        </is>
      </c>
      <c r="C18" s="5">
        <v>0</v>
      </c>
      <c r="E18" s="2">
        <f>E17+D18</f>
        <v>13303.84</v>
      </c>
    </row>
    <row r="19">
      <c r="A19" s="0" t="inlineStr">
        <is>
          <t xml:space="preserve">2025-01-18</t>
        </is>
      </c>
      <c r="B19" s="0" t="inlineStr">
        <is>
          <t xml:space="preserve">Sat</t>
        </is>
      </c>
      <c r="C19" s="5">
        <v>0</v>
      </c>
      <c r="E19" s="2">
        <f>E18+D19</f>
        <v>13303.84</v>
      </c>
    </row>
    <row r="20">
      <c r="A20" s="0" t="inlineStr">
        <is>
          <t xml:space="preserve">2025-01-19</t>
        </is>
      </c>
      <c r="B20" s="0" t="inlineStr">
        <is>
          <t xml:space="preserve">Sun</t>
        </is>
      </c>
      <c r="C20" s="5">
        <v>0</v>
      </c>
      <c r="E20" s="2">
        <f>E19+D20</f>
        <v>13303.84</v>
      </c>
    </row>
    <row r="21">
      <c r="A21" s="0" t="inlineStr">
        <is>
          <t xml:space="preserve">2025-01-20</t>
        </is>
      </c>
      <c r="B21" s="0" t="inlineStr">
        <is>
          <t xml:space="preserve">Mon</t>
        </is>
      </c>
      <c r="C21" s="5">
        <v>0</v>
      </c>
      <c r="E21" s="2">
        <f>E20+D21</f>
        <v>13303.84</v>
      </c>
    </row>
    <row r="22">
      <c r="A22" s="0" t="inlineStr">
        <is>
          <t xml:space="preserve">2025-01-21</t>
        </is>
      </c>
      <c r="B22" s="0" t="inlineStr">
        <is>
          <t xml:space="preserve">Tue</t>
        </is>
      </c>
      <c r="C22" s="5">
        <v>0</v>
      </c>
      <c r="E22" s="2">
        <f>E21+D22</f>
        <v>13303.84</v>
      </c>
    </row>
    <row r="23">
      <c r="A23" s="0" t="inlineStr">
        <is>
          <t xml:space="preserve">2025-01-22</t>
        </is>
      </c>
      <c r="B23" s="0" t="inlineStr">
        <is>
          <t xml:space="preserve">Wed</t>
        </is>
      </c>
      <c r="C23" s="5">
        <v>0</v>
      </c>
      <c r="E23" s="2">
        <f>E22+D23</f>
        <v>13303.84</v>
      </c>
    </row>
    <row r="24">
      <c r="A24" s="0" t="inlineStr">
        <is>
          <t xml:space="preserve">2025-01-23</t>
        </is>
      </c>
      <c r="B24" s="0" t="inlineStr">
        <is>
          <t xml:space="preserve">Thu</t>
        </is>
      </c>
      <c r="C24" s="5">
        <v>0</v>
      </c>
      <c r="E24" s="2">
        <f>E23+D24</f>
        <v>13303.84</v>
      </c>
    </row>
    <row r="25">
      <c r="A25" s="0" t="inlineStr">
        <is>
          <t xml:space="preserve">2025-01-24</t>
        </is>
      </c>
      <c r="B25" s="0" t="inlineStr">
        <is>
          <t xml:space="preserve">Fri</t>
        </is>
      </c>
      <c r="C25" s="5">
        <v>0</v>
      </c>
      <c r="E25" s="2">
        <f>E24+D25</f>
        <v>13303.84</v>
      </c>
    </row>
    <row r="26">
      <c r="A26" s="0" t="inlineStr">
        <is>
          <t xml:space="preserve">2025-01-25</t>
        </is>
      </c>
      <c r="B26" s="0" t="inlineStr">
        <is>
          <t xml:space="preserve">Sat</t>
        </is>
      </c>
      <c r="C26" s="5">
        <v>0</v>
      </c>
      <c r="E26" s="2">
        <f>E25+D26</f>
        <v>13303.84</v>
      </c>
    </row>
    <row r="27">
      <c r="A27" s="0" t="inlineStr">
        <is>
          <t xml:space="preserve">2025-01-26</t>
        </is>
      </c>
      <c r="B27" s="0" t="inlineStr">
        <is>
          <t xml:space="preserve">Sun</t>
        </is>
      </c>
      <c r="C27" s="5">
        <v>0</v>
      </c>
      <c r="E27" s="2">
        <f>E26+D27</f>
        <v>13303.84</v>
      </c>
    </row>
    <row r="28">
      <c r="A28" s="0" t="inlineStr">
        <is>
          <t xml:space="preserve">2025-01-27</t>
        </is>
      </c>
      <c r="B28" s="0" t="inlineStr">
        <is>
          <t xml:space="preserve">Mon</t>
        </is>
      </c>
      <c r="C28" s="5">
        <v>0</v>
      </c>
      <c r="E28" s="2">
        <f>E27+D28</f>
        <v>13303.84</v>
      </c>
    </row>
    <row r="29">
      <c r="A29" s="0" t="inlineStr">
        <is>
          <t xml:space="preserve">2025-01-28</t>
        </is>
      </c>
      <c r="B29" s="0" t="inlineStr">
        <is>
          <t xml:space="preserve">Tue</t>
        </is>
      </c>
      <c r="C29" s="5">
        <v>0</v>
      </c>
      <c r="E29" s="2">
        <f>E28+D29</f>
        <v>13303.84</v>
      </c>
    </row>
    <row r="30">
      <c r="A30" s="0" t="inlineStr">
        <is>
          <t xml:space="preserve">2025-01-29</t>
        </is>
      </c>
      <c r="B30" s="0" t="inlineStr">
        <is>
          <t xml:space="preserve">Wed</t>
        </is>
      </c>
      <c r="C30" s="5">
        <v>0</v>
      </c>
      <c r="E30" s="2">
        <f>E29+D30</f>
        <v>13303.84</v>
      </c>
    </row>
    <row r="31">
      <c r="A31" s="0" t="inlineStr">
        <is>
          <t xml:space="preserve">2025-01-30</t>
        </is>
      </c>
      <c r="B31" s="0" t="inlineStr">
        <is>
          <t xml:space="preserve">Thu</t>
        </is>
      </c>
      <c r="C31" s="5">
        <v>0</v>
      </c>
      <c r="E31" s="2">
        <f>E30+D31</f>
        <v>13303.84</v>
      </c>
    </row>
    <row r="32">
      <c r="A32" s="0" t="inlineStr">
        <is>
          <t xml:space="preserve">2025-01-31</t>
        </is>
      </c>
      <c r="B32" s="0" t="inlineStr">
        <is>
          <t xml:space="preserve">Fri</t>
        </is>
      </c>
      <c r="C32" s="5">
        <v>0</v>
      </c>
      <c r="E32" s="2">
        <f>E31+D32</f>
        <v>13303.84</v>
      </c>
    </row>
    <row r="33">
      <c r="A33" s="0" t="inlineStr">
        <is>
          <t xml:space="preserve">2025-02-01</t>
        </is>
      </c>
      <c r="B33" s="0" t="inlineStr">
        <is>
          <t xml:space="preserve">Sat</t>
        </is>
      </c>
      <c r="C33" s="5">
        <v>0</v>
      </c>
      <c r="E33" s="2">
        <f>E32+D33</f>
        <v>13303.84</v>
      </c>
    </row>
    <row r="34">
      <c r="A34" s="0" t="inlineStr">
        <is>
          <t xml:space="preserve">2025-02-02</t>
        </is>
      </c>
      <c r="B34" s="0" t="inlineStr">
        <is>
          <t xml:space="preserve">Sun</t>
        </is>
      </c>
      <c r="C34" s="5">
        <v>0</v>
      </c>
      <c r="E34" s="2">
        <f>E33+D34</f>
        <v>13303.84</v>
      </c>
    </row>
    <row r="35">
      <c r="A35" s="0" t="inlineStr">
        <is>
          <t xml:space="preserve">2025-02-03</t>
        </is>
      </c>
      <c r="B35" s="0" t="inlineStr">
        <is>
          <t xml:space="preserve">Mon</t>
        </is>
      </c>
      <c r="C35" s="5">
        <v>0</v>
      </c>
      <c r="E35" s="2">
        <f>E34+D35</f>
        <v>13303.84</v>
      </c>
    </row>
    <row r="36">
      <c r="A36" s="0" t="inlineStr">
        <is>
          <t xml:space="preserve">2025-02-04</t>
        </is>
      </c>
      <c r="B36" s="0" t="inlineStr">
        <is>
          <t xml:space="preserve">Tue</t>
        </is>
      </c>
      <c r="C36" s="5">
        <v>0</v>
      </c>
      <c r="E36" s="2">
        <f>E35+D36</f>
        <v>13303.84</v>
      </c>
    </row>
    <row r="37">
      <c r="A37" s="0" t="inlineStr">
        <is>
          <t xml:space="preserve">2025-02-05</t>
        </is>
      </c>
      <c r="B37" s="0" t="inlineStr">
        <is>
          <t xml:space="preserve">Wed</t>
        </is>
      </c>
      <c r="C37" s="5">
        <v>0</v>
      </c>
      <c r="E37" s="2">
        <f>E36+D37</f>
        <v>13303.84</v>
      </c>
    </row>
    <row r="38">
      <c r="A38" s="0" t="inlineStr">
        <is>
          <t xml:space="preserve">2025-02-06</t>
        </is>
      </c>
      <c r="B38" s="0" t="inlineStr">
        <is>
          <t xml:space="preserve">Thu</t>
        </is>
      </c>
      <c r="C38" s="5">
        <v>0</v>
      </c>
      <c r="E38" s="2">
        <f>E37+D38</f>
        <v>13303.84</v>
      </c>
    </row>
    <row r="39">
      <c r="A39" s="0" t="inlineStr">
        <is>
          <t xml:space="preserve">2025-02-07</t>
        </is>
      </c>
      <c r="B39" s="0" t="inlineStr">
        <is>
          <t xml:space="preserve">Fri</t>
        </is>
      </c>
      <c r="C39" s="5">
        <v>0</v>
      </c>
      <c r="E39" s="2">
        <f>E38+D39</f>
        <v>13303.84</v>
      </c>
    </row>
    <row r="40">
      <c r="A40" s="0" t="inlineStr">
        <is>
          <t xml:space="preserve">2025-02-08</t>
        </is>
      </c>
      <c r="B40" s="0" t="inlineStr">
        <is>
          <t xml:space="preserve">Sat</t>
        </is>
      </c>
      <c r="C40" s="5">
        <v>0</v>
      </c>
      <c r="E40" s="2">
        <f>E39+D40</f>
        <v>13303.84</v>
      </c>
    </row>
    <row r="41">
      <c r="A41" s="0" t="inlineStr">
        <is>
          <t xml:space="preserve">2025-02-09</t>
        </is>
      </c>
      <c r="B41" s="0" t="inlineStr">
        <is>
          <t xml:space="preserve">Sun</t>
        </is>
      </c>
      <c r="C41" s="5">
        <v>0</v>
      </c>
      <c r="E41" s="2">
        <f>E40+D41</f>
        <v>13303.84</v>
      </c>
    </row>
    <row r="42">
      <c r="A42" s="0" t="inlineStr">
        <is>
          <t xml:space="preserve">2025-02-10</t>
        </is>
      </c>
      <c r="B42" s="0" t="inlineStr">
        <is>
          <t xml:space="preserve">Mon</t>
        </is>
      </c>
      <c r="C42" s="5">
        <v>0</v>
      </c>
      <c r="E42" s="2">
        <f>E41+D42</f>
        <v>13303.84</v>
      </c>
    </row>
    <row r="43">
      <c r="A43" s="0" t="inlineStr">
        <is>
          <t xml:space="preserve">2025-02-11</t>
        </is>
      </c>
      <c r="B43" s="0" t="inlineStr">
        <is>
          <t xml:space="preserve">Tue</t>
        </is>
      </c>
      <c r="C43" s="5">
        <v>0</v>
      </c>
      <c r="E43" s="2">
        <f>E42+D43</f>
        <v>13303.84</v>
      </c>
    </row>
    <row r="44">
      <c r="A44" s="0" t="inlineStr">
        <is>
          <t xml:space="preserve">2025-02-12</t>
        </is>
      </c>
      <c r="B44" s="0" t="inlineStr">
        <is>
          <t xml:space="preserve">Wed</t>
        </is>
      </c>
      <c r="C44" s="5">
        <v>0</v>
      </c>
      <c r="E44" s="2">
        <f>E43+D44</f>
        <v>13303.84</v>
      </c>
    </row>
    <row r="45">
      <c r="A45" s="0" t="inlineStr">
        <is>
          <t xml:space="preserve">2025-02-13</t>
        </is>
      </c>
      <c r="B45" s="0" t="inlineStr">
        <is>
          <t xml:space="preserve">Thu</t>
        </is>
      </c>
      <c r="C45" s="5">
        <v>0</v>
      </c>
      <c r="E45" s="2">
        <f>E44+D45</f>
        <v>13303.84</v>
      </c>
    </row>
    <row r="46">
      <c r="A46" s="0" t="inlineStr">
        <is>
          <t xml:space="preserve">2025-02-14</t>
        </is>
      </c>
      <c r="B46" s="0" t="inlineStr">
        <is>
          <t xml:space="preserve">Fri</t>
        </is>
      </c>
      <c r="C46" s="5">
        <v>0</v>
      </c>
      <c r="E46" s="2">
        <f>E45+D46</f>
        <v>13303.84</v>
      </c>
    </row>
    <row r="47">
      <c r="A47" s="0" t="inlineStr">
        <is>
          <t xml:space="preserve">2025-02-15</t>
        </is>
      </c>
      <c r="B47" s="0" t="inlineStr">
        <is>
          <t xml:space="preserve">Sat</t>
        </is>
      </c>
      <c r="C47" s="5">
        <v>0</v>
      </c>
      <c r="E47" s="2">
        <f>E46+D47</f>
        <v>13303.84</v>
      </c>
    </row>
    <row r="48">
      <c r="A48" s="0" t="inlineStr">
        <is>
          <t xml:space="preserve">2025-02-16</t>
        </is>
      </c>
      <c r="B48" s="0" t="inlineStr">
        <is>
          <t xml:space="preserve">Sun</t>
        </is>
      </c>
      <c r="C48" s="5">
        <v>0</v>
      </c>
      <c r="E48" s="2">
        <f>E47+D48</f>
        <v>13303.84</v>
      </c>
    </row>
    <row r="49">
      <c r="A49" s="0" t="inlineStr">
        <is>
          <t xml:space="preserve">2025-02-17</t>
        </is>
      </c>
      <c r="B49" s="0" t="inlineStr">
        <is>
          <t xml:space="preserve">Mon</t>
        </is>
      </c>
      <c r="C49" s="5">
        <v>0</v>
      </c>
      <c r="E49" s="2">
        <f>E48+D49</f>
        <v>13303.84</v>
      </c>
    </row>
    <row r="50">
      <c r="A50" s="0" t="inlineStr">
        <is>
          <t xml:space="preserve">2025-02-18</t>
        </is>
      </c>
      <c r="B50" s="0" t="inlineStr">
        <is>
          <t xml:space="preserve">Tue</t>
        </is>
      </c>
      <c r="C50" s="5">
        <v>0</v>
      </c>
      <c r="E50" s="2">
        <f>E49+D50</f>
        <v>13303.84</v>
      </c>
    </row>
    <row r="51">
      <c r="A51" s="0" t="inlineStr">
        <is>
          <t xml:space="preserve">2025-02-19</t>
        </is>
      </c>
      <c r="B51" s="0" t="inlineStr">
        <is>
          <t xml:space="preserve">Wed</t>
        </is>
      </c>
      <c r="C51" s="5">
        <v>0</v>
      </c>
      <c r="E51" s="2">
        <f>E50+D51</f>
        <v>13303.84</v>
      </c>
    </row>
    <row r="52">
      <c r="A52" s="0" t="inlineStr">
        <is>
          <t xml:space="preserve">2025-02-20</t>
        </is>
      </c>
      <c r="B52" s="0" t="inlineStr">
        <is>
          <t xml:space="preserve">Thu</t>
        </is>
      </c>
      <c r="C52" s="5">
        <v>0</v>
      </c>
      <c r="E52" s="2">
        <f>E51+D52</f>
        <v>13303.84</v>
      </c>
    </row>
    <row r="53">
      <c r="A53" s="0" t="inlineStr">
        <is>
          <t xml:space="preserve">2025-02-21</t>
        </is>
      </c>
      <c r="B53" s="0" t="inlineStr">
        <is>
          <t xml:space="preserve">Fri</t>
        </is>
      </c>
      <c r="C53" s="5">
        <v>0</v>
      </c>
      <c r="E53" s="2">
        <f>E52+D53</f>
        <v>13303.84</v>
      </c>
    </row>
    <row r="54">
      <c r="A54" s="0" t="inlineStr">
        <is>
          <t xml:space="preserve">2025-02-22</t>
        </is>
      </c>
      <c r="B54" s="0" t="inlineStr">
        <is>
          <t xml:space="preserve">Sat</t>
        </is>
      </c>
      <c r="C54" s="5">
        <v>0</v>
      </c>
      <c r="E54" s="2">
        <f>E53+D54</f>
        <v>13303.84</v>
      </c>
    </row>
    <row r="55">
      <c r="A55" s="0" t="inlineStr">
        <is>
          <t xml:space="preserve">2025-02-23</t>
        </is>
      </c>
      <c r="B55" s="0" t="inlineStr">
        <is>
          <t xml:space="preserve">Sun</t>
        </is>
      </c>
      <c r="C55" s="5">
        <v>0</v>
      </c>
      <c r="E55" s="2">
        <f>E54+D55</f>
        <v>13303.84</v>
      </c>
    </row>
    <row r="56">
      <c r="A56" s="0" t="inlineStr">
        <is>
          <t xml:space="preserve">2025-02-24</t>
        </is>
      </c>
      <c r="B56" s="0" t="inlineStr">
        <is>
          <t xml:space="preserve">Mon</t>
        </is>
      </c>
      <c r="C56" s="5">
        <v>0</v>
      </c>
      <c r="E56" s="2">
        <f>E55+D56</f>
        <v>13303.84</v>
      </c>
    </row>
    <row r="57">
      <c r="A57" s="0" t="inlineStr">
        <is>
          <t xml:space="preserve">2025-02-25</t>
        </is>
      </c>
      <c r="B57" s="0" t="inlineStr">
        <is>
          <t xml:space="preserve">Tue</t>
        </is>
      </c>
      <c r="C57" s="5">
        <v>0</v>
      </c>
      <c r="E57" s="2">
        <f>E56+D57</f>
        <v>13303.84</v>
      </c>
    </row>
    <row r="58">
      <c r="A58" s="0" t="inlineStr">
        <is>
          <t xml:space="preserve">2025-02-26</t>
        </is>
      </c>
      <c r="B58" s="0" t="inlineStr">
        <is>
          <t xml:space="preserve">Wed</t>
        </is>
      </c>
      <c r="C58" s="5">
        <v>0</v>
      </c>
      <c r="E58" s="2">
        <f>E57+D58</f>
        <v>13303.84</v>
      </c>
    </row>
    <row r="59">
      <c r="A59" s="0" t="inlineStr">
        <is>
          <t xml:space="preserve">2025-02-27</t>
        </is>
      </c>
      <c r="B59" s="0" t="inlineStr">
        <is>
          <t xml:space="preserve">Thu</t>
        </is>
      </c>
      <c r="C59" s="5">
        <v>0</v>
      </c>
      <c r="E59" s="2">
        <f>E58+D59</f>
        <v>13303.84</v>
      </c>
    </row>
    <row r="60">
      <c r="A60" s="0" t="inlineStr">
        <is>
          <t xml:space="preserve">2025-02-28</t>
        </is>
      </c>
      <c r="B60" s="0" t="inlineStr">
        <is>
          <t xml:space="preserve">Fri</t>
        </is>
      </c>
      <c r="C60" s="5">
        <v>0</v>
      </c>
      <c r="E60" s="2">
        <f>E59+D60</f>
        <v>13303.84</v>
      </c>
    </row>
    <row r="61">
      <c r="A61" s="0" t="inlineStr">
        <is>
          <t xml:space="preserve">2025-03-01</t>
        </is>
      </c>
      <c r="B61" s="0" t="inlineStr">
        <is>
          <t xml:space="preserve">Sat</t>
        </is>
      </c>
      <c r="C61" s="5">
        <v>0</v>
      </c>
      <c r="E61" s="2">
        <f>E60+D61</f>
        <v>13303.84</v>
      </c>
    </row>
    <row r="62">
      <c r="A62" s="0" t="inlineStr">
        <is>
          <t xml:space="preserve">2025-03-02</t>
        </is>
      </c>
      <c r="B62" s="0" t="inlineStr">
        <is>
          <t xml:space="preserve">Sun</t>
        </is>
      </c>
      <c r="C62" s="5">
        <v>0</v>
      </c>
      <c r="E62" s="2">
        <f>E61+D62</f>
        <v>13303.84</v>
      </c>
    </row>
    <row r="63">
      <c r="A63" s="0" t="inlineStr">
        <is>
          <t xml:space="preserve">2025-03-03</t>
        </is>
      </c>
      <c r="B63" s="0" t="inlineStr">
        <is>
          <t xml:space="preserve">Mon</t>
        </is>
      </c>
      <c r="C63" s="5">
        <v>0</v>
      </c>
      <c r="E63" s="2">
        <f>E62+D63</f>
        <v>13303.84</v>
      </c>
    </row>
    <row r="64">
      <c r="A64" s="0" t="inlineStr">
        <is>
          <t xml:space="preserve">2025-03-04</t>
        </is>
      </c>
      <c r="B64" s="0" t="inlineStr">
        <is>
          <t xml:space="preserve">Tue</t>
        </is>
      </c>
      <c r="C64" s="5">
        <v>0</v>
      </c>
      <c r="E64" s="2">
        <f>E63+D64</f>
        <v>13303.84</v>
      </c>
    </row>
    <row r="65">
      <c r="A65" s="0" t="inlineStr">
        <is>
          <t xml:space="preserve">2025-03-05</t>
        </is>
      </c>
      <c r="B65" s="0" t="inlineStr">
        <is>
          <t xml:space="preserve">Wed</t>
        </is>
      </c>
      <c r="C65" s="5">
        <v>0</v>
      </c>
      <c r="E65" s="2">
        <f>E64+D65</f>
        <v>13303.84</v>
      </c>
    </row>
    <row r="66">
      <c r="A66" s="0" t="inlineStr">
        <is>
          <t xml:space="preserve">2025-03-06</t>
        </is>
      </c>
      <c r="B66" s="0" t="inlineStr">
        <is>
          <t xml:space="preserve">Thu</t>
        </is>
      </c>
      <c r="C66" s="5">
        <v>0</v>
      </c>
      <c r="E66" s="2">
        <f>E65+D66</f>
        <v>13303.84</v>
      </c>
    </row>
    <row r="67">
      <c r="A67" s="0" t="inlineStr">
        <is>
          <t xml:space="preserve">2025-03-07</t>
        </is>
      </c>
      <c r="B67" s="0" t="inlineStr">
        <is>
          <t xml:space="preserve">Fri</t>
        </is>
      </c>
      <c r="C67" s="5">
        <v>0</v>
      </c>
      <c r="E67" s="2">
        <f>E66+D67</f>
        <v>13303.84</v>
      </c>
    </row>
    <row r="68">
      <c r="A68" s="0" t="inlineStr">
        <is>
          <t xml:space="preserve">2025-03-08</t>
        </is>
      </c>
      <c r="B68" s="0" t="inlineStr">
        <is>
          <t xml:space="preserve">Sat</t>
        </is>
      </c>
      <c r="C68" s="5">
        <v>0</v>
      </c>
      <c r="E68" s="2">
        <f>E67+D68</f>
        <v>13303.84</v>
      </c>
    </row>
    <row r="69">
      <c r="A69" s="0" t="inlineStr">
        <is>
          <t xml:space="preserve">2025-03-09</t>
        </is>
      </c>
      <c r="B69" s="0" t="inlineStr">
        <is>
          <t xml:space="preserve">Sun</t>
        </is>
      </c>
      <c r="C69" s="5">
        <v>0</v>
      </c>
      <c r="E69" s="2">
        <f>E68+D69</f>
        <v>13303.84</v>
      </c>
    </row>
    <row r="70">
      <c r="A70" s="0" t="inlineStr">
        <is>
          <t xml:space="preserve">2025-03-10</t>
        </is>
      </c>
      <c r="B70" s="0" t="inlineStr">
        <is>
          <t xml:space="preserve">Mon</t>
        </is>
      </c>
      <c r="C70" s="5">
        <v>0</v>
      </c>
      <c r="E70" s="2">
        <f>E69+D70</f>
        <v>13303.84</v>
      </c>
    </row>
    <row r="71">
      <c r="A71" s="0" t="inlineStr">
        <is>
          <t xml:space="preserve">2025-03-11</t>
        </is>
      </c>
      <c r="B71" s="0" t="inlineStr">
        <is>
          <t xml:space="preserve">Tue</t>
        </is>
      </c>
      <c r="C71" s="5">
        <v>0</v>
      </c>
      <c r="E71" s="2">
        <f>E70+D71</f>
        <v>13303.84</v>
      </c>
    </row>
    <row r="72">
      <c r="A72" s="0" t="inlineStr">
        <is>
          <t xml:space="preserve">2025-03-12</t>
        </is>
      </c>
      <c r="B72" s="0" t="inlineStr">
        <is>
          <t xml:space="preserve">Wed</t>
        </is>
      </c>
      <c r="C72" s="5">
        <v>0</v>
      </c>
      <c r="E72" s="2">
        <f>E71+D72</f>
        <v>13303.84</v>
      </c>
    </row>
    <row r="73">
      <c r="A73" s="0" t="inlineStr">
        <is>
          <t xml:space="preserve">2025-03-13</t>
        </is>
      </c>
      <c r="B73" s="0" t="inlineStr">
        <is>
          <t xml:space="preserve">Thu</t>
        </is>
      </c>
      <c r="C73" s="5">
        <v>1</v>
      </c>
      <c r="D73" s="2">
        <v>-16.58</v>
      </c>
      <c r="E73" s="2">
        <f>E72+D73</f>
        <v>13287.26</v>
      </c>
    </row>
    <row r="74">
      <c r="A74" s="0" t="inlineStr">
        <is>
          <t xml:space="preserve">2025-03-14</t>
        </is>
      </c>
      <c r="B74" s="0" t="inlineStr">
        <is>
          <t xml:space="preserve">Fri</t>
        </is>
      </c>
      <c r="C74" s="5">
        <v>0</v>
      </c>
      <c r="E74" s="2">
        <f>E73+D74</f>
        <v>13287.26</v>
      </c>
    </row>
    <row r="75">
      <c r="A75" s="0" t="inlineStr">
        <is>
          <t xml:space="preserve">2025-03-15</t>
        </is>
      </c>
      <c r="B75" s="0" t="inlineStr">
        <is>
          <t xml:space="preserve">Sat</t>
        </is>
      </c>
      <c r="C75" s="5">
        <v>0</v>
      </c>
      <c r="E75" s="2">
        <f>E74+D75</f>
        <v>13287.26</v>
      </c>
    </row>
    <row r="76">
      <c r="A76" s="0" t="inlineStr">
        <is>
          <t xml:space="preserve">2025-03-16</t>
        </is>
      </c>
      <c r="B76" s="0" t="inlineStr">
        <is>
          <t xml:space="preserve">Sun</t>
        </is>
      </c>
      <c r="C76" s="5">
        <v>0</v>
      </c>
      <c r="E76" s="2">
        <f>E75+D76</f>
        <v>13287.26</v>
      </c>
    </row>
    <row r="77">
      <c r="A77" s="0" t="inlineStr">
        <is>
          <t xml:space="preserve">2025-03-17</t>
        </is>
      </c>
      <c r="B77" s="0" t="inlineStr">
        <is>
          <t xml:space="preserve">Mon</t>
        </is>
      </c>
      <c r="C77" s="5">
        <v>0</v>
      </c>
      <c r="E77" s="2">
        <f>E76+D77</f>
        <v>13287.26</v>
      </c>
    </row>
    <row r="78">
      <c r="A78" s="0" t="inlineStr">
        <is>
          <t xml:space="preserve">2025-03-18</t>
        </is>
      </c>
      <c r="B78" s="0" t="inlineStr">
        <is>
          <t xml:space="preserve">Tue</t>
        </is>
      </c>
      <c r="C78" s="5">
        <v>0</v>
      </c>
      <c r="E78" s="2">
        <f>E77+D78</f>
        <v>13287.26</v>
      </c>
    </row>
    <row r="79">
      <c r="A79" s="0" t="inlineStr">
        <is>
          <t xml:space="preserve">2025-03-19</t>
        </is>
      </c>
      <c r="B79" s="0" t="inlineStr">
        <is>
          <t xml:space="preserve">Wed</t>
        </is>
      </c>
      <c r="C79" s="5">
        <v>0</v>
      </c>
      <c r="E79" s="2">
        <f>E78+D79</f>
        <v>13287.26</v>
      </c>
    </row>
    <row r="80">
      <c r="A80" s="0" t="inlineStr">
        <is>
          <t xml:space="preserve">2025-03-20</t>
        </is>
      </c>
      <c r="B80" s="0" t="inlineStr">
        <is>
          <t xml:space="preserve">Thu</t>
        </is>
      </c>
      <c r="C80" s="5">
        <v>0</v>
      </c>
      <c r="E80" s="2">
        <f>E79+D80</f>
        <v>13287.26</v>
      </c>
    </row>
    <row r="81">
      <c r="A81" s="0" t="inlineStr">
        <is>
          <t xml:space="preserve">2025-03-21</t>
        </is>
      </c>
      <c r="B81" s="0" t="inlineStr">
        <is>
          <t xml:space="preserve">Fri</t>
        </is>
      </c>
      <c r="C81" s="5">
        <v>0</v>
      </c>
      <c r="E81" s="2">
        <f>E80+D81</f>
        <v>13287.26</v>
      </c>
    </row>
    <row r="82">
      <c r="A82" s="0" t="inlineStr">
        <is>
          <t xml:space="preserve">2025-03-22</t>
        </is>
      </c>
      <c r="B82" s="0" t="inlineStr">
        <is>
          <t xml:space="preserve">Sat</t>
        </is>
      </c>
      <c r="C82" s="5">
        <v>0</v>
      </c>
      <c r="E82" s="2">
        <f>E81+D82</f>
        <v>13287.26</v>
      </c>
    </row>
    <row r="83">
      <c r="A83" s="0" t="inlineStr">
        <is>
          <t xml:space="preserve">2025-03-23</t>
        </is>
      </c>
      <c r="B83" s="0" t="inlineStr">
        <is>
          <t xml:space="preserve">Sun</t>
        </is>
      </c>
      <c r="C83" s="5">
        <v>0</v>
      </c>
      <c r="E83" s="2">
        <f>E82+D83</f>
        <v>13287.26</v>
      </c>
    </row>
    <row r="84">
      <c r="A84" s="0" t="inlineStr">
        <is>
          <t xml:space="preserve">2025-03-24</t>
        </is>
      </c>
      <c r="B84" s="0" t="inlineStr">
        <is>
          <t xml:space="preserve">Mon</t>
        </is>
      </c>
      <c r="C84" s="5">
        <v>1</v>
      </c>
      <c r="D84" s="2">
        <v>-90.0</v>
      </c>
      <c r="E84" s="2">
        <f>E83+D84</f>
        <v>13197.26</v>
      </c>
    </row>
    <row r="85">
      <c r="A85" s="0" t="inlineStr">
        <is>
          <t xml:space="preserve">2025-03-25</t>
        </is>
      </c>
      <c r="B85" s="0" t="inlineStr">
        <is>
          <t xml:space="preserve">Tue</t>
        </is>
      </c>
      <c r="C85" s="5">
        <v>0</v>
      </c>
      <c r="E85" s="2">
        <f>E84+D85</f>
        <v>13197.26</v>
      </c>
    </row>
    <row r="86">
      <c r="A86" s="0" t="inlineStr">
        <is>
          <t xml:space="preserve">2025-03-26</t>
        </is>
      </c>
      <c r="B86" s="0" t="inlineStr">
        <is>
          <t xml:space="preserve">Wed</t>
        </is>
      </c>
      <c r="C86" s="5">
        <v>1</v>
      </c>
      <c r="D86" s="2">
        <v>3788.14</v>
      </c>
      <c r="E86" s="2">
        <f>E85+D86</f>
        <v>16985.4</v>
      </c>
    </row>
    <row r="87">
      <c r="A87" s="0" t="inlineStr">
        <is>
          <t xml:space="preserve">2025-03-27</t>
        </is>
      </c>
      <c r="B87" s="0" t="inlineStr">
        <is>
          <t xml:space="preserve">Thu</t>
        </is>
      </c>
      <c r="C87" s="5">
        <v>0</v>
      </c>
      <c r="E87" s="2">
        <f>E86+D87</f>
        <v>16985.4</v>
      </c>
    </row>
    <row r="88">
      <c r="A88" s="0" t="inlineStr">
        <is>
          <t xml:space="preserve">2025-03-28</t>
        </is>
      </c>
      <c r="B88" s="0" t="inlineStr">
        <is>
          <t xml:space="preserve">Fri</t>
        </is>
      </c>
      <c r="C88" s="5">
        <v>0</v>
      </c>
      <c r="E88" s="2">
        <f>E87+D88</f>
        <v>16985.4</v>
      </c>
    </row>
    <row r="89">
      <c r="A89" s="0" t="inlineStr">
        <is>
          <t xml:space="preserve">2025-03-29</t>
        </is>
      </c>
      <c r="B89" s="0" t="inlineStr">
        <is>
          <t xml:space="preserve">Sat</t>
        </is>
      </c>
      <c r="C89" s="5">
        <v>0</v>
      </c>
      <c r="E89" s="2">
        <f>E88+D89</f>
        <v>16985.4</v>
      </c>
    </row>
    <row r="90">
      <c r="A90" s="0" t="inlineStr">
        <is>
          <t xml:space="preserve">2025-03-30</t>
        </is>
      </c>
      <c r="B90" s="0" t="inlineStr">
        <is>
          <t xml:space="preserve">Sun</t>
        </is>
      </c>
      <c r="C90" s="5">
        <v>0</v>
      </c>
      <c r="E90" s="2">
        <f>E89+D90</f>
        <v>16985.4</v>
      </c>
    </row>
    <row r="91">
      <c r="A91" s="0" t="inlineStr">
        <is>
          <t xml:space="preserve">2025-03-31</t>
        </is>
      </c>
      <c r="B91" s="0" t="inlineStr">
        <is>
          <t xml:space="preserve">Mon</t>
        </is>
      </c>
      <c r="C91" s="5">
        <v>0</v>
      </c>
      <c r="E91" s="2">
        <f>E90+D91</f>
        <v>16985.4</v>
      </c>
    </row>
    <row r="92">
      <c r="A92" s="0" t="inlineStr">
        <is>
          <t xml:space="preserve">2025-04-01</t>
        </is>
      </c>
      <c r="B92" s="0" t="inlineStr">
        <is>
          <t xml:space="preserve">Tue</t>
        </is>
      </c>
      <c r="C92" s="5">
        <v>0</v>
      </c>
      <c r="E92" s="2">
        <f>E91+D92</f>
        <v>16985.4</v>
      </c>
    </row>
    <row r="93">
      <c r="A93" s="0" t="inlineStr">
        <is>
          <t xml:space="preserve">2025-04-02</t>
        </is>
      </c>
      <c r="B93" s="0" t="inlineStr">
        <is>
          <t xml:space="preserve">Wed</t>
        </is>
      </c>
      <c r="C93" s="5">
        <v>1</v>
      </c>
      <c r="D93" s="2">
        <v>8548.04</v>
      </c>
      <c r="E93" s="2">
        <f>E92+D93</f>
        <v>25533.44</v>
      </c>
    </row>
    <row r="94">
      <c r="A94" s="0" t="inlineStr">
        <is>
          <t xml:space="preserve">2025-04-03</t>
        </is>
      </c>
      <c r="B94" s="0" t="inlineStr">
        <is>
          <t xml:space="preserve">Thu</t>
        </is>
      </c>
      <c r="C94" s="5">
        <v>0</v>
      </c>
      <c r="E94" s="2">
        <f>E93+D94</f>
        <v>25533.44</v>
      </c>
    </row>
    <row r="95">
      <c r="A95" s="0" t="inlineStr">
        <is>
          <t xml:space="preserve">2025-04-04</t>
        </is>
      </c>
      <c r="B95" s="0" t="inlineStr">
        <is>
          <t xml:space="preserve">Fri</t>
        </is>
      </c>
      <c r="C95" s="5">
        <v>1</v>
      </c>
      <c r="D95" s="2">
        <v>1340.0</v>
      </c>
      <c r="E95" s="2">
        <f>E94+D95</f>
        <v>26873.44</v>
      </c>
    </row>
    <row r="96">
      <c r="A96" s="0" t="inlineStr">
        <is>
          <t xml:space="preserve">2025-04-05</t>
        </is>
      </c>
      <c r="B96" s="0" t="inlineStr">
        <is>
          <t xml:space="preserve">Sat</t>
        </is>
      </c>
      <c r="C96" s="5">
        <v>0</v>
      </c>
      <c r="E96" s="2">
        <f>E95+D96</f>
        <v>26873.44</v>
      </c>
    </row>
    <row r="97">
      <c r="A97" s="0" t="inlineStr">
        <is>
          <t xml:space="preserve">2025-04-06</t>
        </is>
      </c>
      <c r="B97" s="0" t="inlineStr">
        <is>
          <t xml:space="preserve">Sun</t>
        </is>
      </c>
      <c r="C97" s="5">
        <v>0</v>
      </c>
      <c r="E97" s="2">
        <f>E96+D97</f>
        <v>26873.44</v>
      </c>
    </row>
    <row r="98">
      <c r="A98" s="0" t="inlineStr">
        <is>
          <t xml:space="preserve">2025-04-07</t>
        </is>
      </c>
      <c r="B98" s="0" t="inlineStr">
        <is>
          <t xml:space="preserve">Mon</t>
        </is>
      </c>
      <c r="C98" s="5">
        <v>1</v>
      </c>
      <c r="D98" s="2">
        <v>2123.8</v>
      </c>
      <c r="E98" s="2">
        <f>E97+D98</f>
        <v>28997.24</v>
      </c>
    </row>
    <row r="99">
      <c r="A99" s="0" t="inlineStr">
        <is>
          <t xml:space="preserve">2025-04-08</t>
        </is>
      </c>
      <c r="B99" s="0" t="inlineStr">
        <is>
          <t xml:space="preserve">Tue</t>
        </is>
      </c>
      <c r="C99" s="5">
        <v>0</v>
      </c>
      <c r="E99" s="2">
        <f>E98+D99</f>
        <v>28997.24</v>
      </c>
    </row>
    <row r="100">
      <c r="A100" s="0" t="inlineStr">
        <is>
          <t xml:space="preserve">2025-04-09</t>
        </is>
      </c>
      <c r="B100" s="0" t="inlineStr">
        <is>
          <t xml:space="preserve">Wed</t>
        </is>
      </c>
      <c r="C100" s="5">
        <v>0</v>
      </c>
      <c r="E100" s="2">
        <f>E99+D100</f>
        <v>28997.24</v>
      </c>
    </row>
    <row r="101">
      <c r="A101" s="0" t="inlineStr">
        <is>
          <t xml:space="preserve">2025-04-10</t>
        </is>
      </c>
      <c r="B101" s="0" t="inlineStr">
        <is>
          <t xml:space="preserve">Thu</t>
        </is>
      </c>
      <c r="C101" s="5">
        <v>0</v>
      </c>
      <c r="E101" s="2">
        <f>E100+D101</f>
        <v>28997.24</v>
      </c>
    </row>
    <row r="102">
      <c r="A102" s="0" t="inlineStr">
        <is>
          <t xml:space="preserve">2025-04-11</t>
        </is>
      </c>
      <c r="B102" s="0" t="inlineStr">
        <is>
          <t xml:space="preserve">Fri</t>
        </is>
      </c>
      <c r="C102" s="5">
        <v>0</v>
      </c>
      <c r="E102" s="2">
        <f>E101+D102</f>
        <v>28997.24</v>
      </c>
    </row>
    <row r="103">
      <c r="A103" s="0" t="inlineStr">
        <is>
          <t xml:space="preserve">2025-04-12</t>
        </is>
      </c>
      <c r="B103" s="0" t="inlineStr">
        <is>
          <t xml:space="preserve">Sat</t>
        </is>
      </c>
      <c r="C103" s="5">
        <v>0</v>
      </c>
      <c r="E103" s="2">
        <f>E102+D103</f>
        <v>28997.24</v>
      </c>
    </row>
    <row r="104">
      <c r="A104" s="0" t="inlineStr">
        <is>
          <t xml:space="preserve">2025-04-13</t>
        </is>
      </c>
      <c r="B104" s="0" t="inlineStr">
        <is>
          <t xml:space="preserve">Sun</t>
        </is>
      </c>
      <c r="C104" s="5">
        <v>0</v>
      </c>
      <c r="E104" s="2">
        <f>E103+D104</f>
        <v>28997.24</v>
      </c>
    </row>
    <row r="105">
      <c r="A105" s="0" t="inlineStr">
        <is>
          <t xml:space="preserve">2025-04-14</t>
        </is>
      </c>
      <c r="B105" s="0" t="inlineStr">
        <is>
          <t xml:space="preserve">Mon</t>
        </is>
      </c>
      <c r="C105" s="5">
        <v>0</v>
      </c>
      <c r="E105" s="2">
        <f>E104+D105</f>
        <v>28997.24</v>
      </c>
    </row>
    <row r="106">
      <c r="A106" s="0" t="inlineStr">
        <is>
          <t xml:space="preserve">2025-04-15</t>
        </is>
      </c>
      <c r="B106" s="0" t="inlineStr">
        <is>
          <t xml:space="preserve">Tue</t>
        </is>
      </c>
      <c r="C106" s="5">
        <v>0</v>
      </c>
      <c r="E106" s="2">
        <f>E105+D106</f>
        <v>28997.24</v>
      </c>
    </row>
    <row r="107">
      <c r="A107" s="0" t="inlineStr">
        <is>
          <t xml:space="preserve">2025-04-16</t>
        </is>
      </c>
      <c r="B107" s="0" t="inlineStr">
        <is>
          <t xml:space="preserve">Wed</t>
        </is>
      </c>
      <c r="C107" s="5">
        <v>0</v>
      </c>
      <c r="E107" s="2">
        <f>E106+D107</f>
        <v>28997.24</v>
      </c>
    </row>
    <row r="108">
      <c r="A108" s="0" t="inlineStr">
        <is>
          <t xml:space="preserve">2025-04-17</t>
        </is>
      </c>
      <c r="B108" s="0" t="inlineStr">
        <is>
          <t xml:space="preserve">Thu</t>
        </is>
      </c>
      <c r="C108" s="5">
        <v>0</v>
      </c>
      <c r="E108" s="2">
        <f>E107+D108</f>
        <v>28997.24</v>
      </c>
    </row>
    <row r="109">
      <c r="A109" s="0" t="inlineStr">
        <is>
          <t xml:space="preserve">2025-04-18</t>
        </is>
      </c>
      <c r="B109" s="0" t="inlineStr">
        <is>
          <t xml:space="preserve">Fri</t>
        </is>
      </c>
      <c r="C109" s="5">
        <v>0</v>
      </c>
      <c r="E109" s="2">
        <f>E108+D109</f>
        <v>28997.24</v>
      </c>
    </row>
    <row r="110">
      <c r="A110" s="0" t="inlineStr">
        <is>
          <t xml:space="preserve">2025-04-19</t>
        </is>
      </c>
      <c r="B110" s="0" t="inlineStr">
        <is>
          <t xml:space="preserve">Sat</t>
        </is>
      </c>
      <c r="C110" s="5">
        <v>0</v>
      </c>
      <c r="E110" s="2">
        <f>E109+D110</f>
        <v>28997.24</v>
      </c>
    </row>
    <row r="111">
      <c r="A111" s="0" t="inlineStr">
        <is>
          <t xml:space="preserve">2025-04-20</t>
        </is>
      </c>
      <c r="B111" s="0" t="inlineStr">
        <is>
          <t xml:space="preserve">Sun</t>
        </is>
      </c>
      <c r="C111" s="5">
        <v>0</v>
      </c>
      <c r="E111" s="2">
        <f>E110+D111</f>
        <v>28997.24</v>
      </c>
    </row>
    <row r="112">
      <c r="A112" s="0" t="inlineStr">
        <is>
          <t xml:space="preserve">2025-04-21</t>
        </is>
      </c>
      <c r="B112" s="0" t="inlineStr">
        <is>
          <t xml:space="preserve">Mon</t>
        </is>
      </c>
      <c r="C112" s="5">
        <v>2</v>
      </c>
      <c r="D112" s="2">
        <v>-1.04</v>
      </c>
      <c r="E112" s="2">
        <f>E111+D112</f>
        <v>28996.2</v>
      </c>
    </row>
    <row r="113">
      <c r="A113" s="0" t="inlineStr">
        <is>
          <t xml:space="preserve">2025-04-22</t>
        </is>
      </c>
      <c r="B113" s="0" t="inlineStr">
        <is>
          <t xml:space="preserve">Tue</t>
        </is>
      </c>
      <c r="C113" s="5">
        <v>0</v>
      </c>
      <c r="E113" s="2">
        <f>E112+D113</f>
        <v>28996.2</v>
      </c>
    </row>
    <row r="114">
      <c r="A114" s="0" t="inlineStr">
        <is>
          <t xml:space="preserve">2025-04-23</t>
        </is>
      </c>
      <c r="B114" s="0" t="inlineStr">
        <is>
          <t xml:space="preserve">Wed</t>
        </is>
      </c>
      <c r="C114" s="5">
        <v>0</v>
      </c>
      <c r="E114" s="2">
        <f>E113+D114</f>
        <v>28996.2</v>
      </c>
    </row>
    <row r="115">
      <c r="A115" s="0" t="inlineStr">
        <is>
          <t xml:space="preserve">2025-04-24</t>
        </is>
      </c>
      <c r="B115" s="0" t="inlineStr">
        <is>
          <t xml:space="preserve">Thu</t>
        </is>
      </c>
      <c r="C115" s="5">
        <v>0</v>
      </c>
      <c r="E115" s="2">
        <f>E114+D115</f>
        <v>28996.2</v>
      </c>
    </row>
    <row r="116">
      <c r="A116" s="0" t="inlineStr">
        <is>
          <t xml:space="preserve">2025-04-25</t>
        </is>
      </c>
      <c r="B116" s="0" t="inlineStr">
        <is>
          <t xml:space="preserve">Fri</t>
        </is>
      </c>
      <c r="C116" s="5">
        <v>0</v>
      </c>
      <c r="E116" s="2">
        <f>E115+D116</f>
        <v>28996.2</v>
      </c>
    </row>
    <row r="117">
      <c r="A117" s="0" t="inlineStr">
        <is>
          <t xml:space="preserve">2025-04-26</t>
        </is>
      </c>
      <c r="B117" s="0" t="inlineStr">
        <is>
          <t xml:space="preserve">Sat</t>
        </is>
      </c>
      <c r="C117" s="5">
        <v>0</v>
      </c>
      <c r="E117" s="2">
        <f>E116+D117</f>
        <v>28996.2</v>
      </c>
    </row>
    <row r="118">
      <c r="A118" s="0" t="inlineStr">
        <is>
          <t xml:space="preserve">2025-04-27</t>
        </is>
      </c>
      <c r="B118" s="0" t="inlineStr">
        <is>
          <t xml:space="preserve">Sun</t>
        </is>
      </c>
      <c r="C118" s="5">
        <v>0</v>
      </c>
      <c r="E118" s="2">
        <f>E117+D118</f>
        <v>28996.2</v>
      </c>
    </row>
    <row r="119">
      <c r="A119" s="0" t="inlineStr">
        <is>
          <t xml:space="preserve">2025-04-28</t>
        </is>
      </c>
      <c r="B119" s="0" t="inlineStr">
        <is>
          <t xml:space="preserve">Mon</t>
        </is>
      </c>
      <c r="C119" s="5">
        <v>0</v>
      </c>
      <c r="E119" s="2">
        <f>E118+D119</f>
        <v>28996.2</v>
      </c>
    </row>
    <row r="120">
      <c r="A120" s="0" t="inlineStr">
        <is>
          <t xml:space="preserve">2025-04-29</t>
        </is>
      </c>
      <c r="B120" s="0" t="inlineStr">
        <is>
          <t xml:space="preserve">Tue</t>
        </is>
      </c>
      <c r="C120" s="5">
        <v>0</v>
      </c>
      <c r="E120" s="2">
        <f>E119+D120</f>
        <v>28996.2</v>
      </c>
    </row>
    <row r="121">
      <c r="A121" s="0" t="inlineStr">
        <is>
          <t xml:space="preserve">2025-04-30</t>
        </is>
      </c>
      <c r="B121" s="0" t="inlineStr">
        <is>
          <t xml:space="preserve">Wed</t>
        </is>
      </c>
      <c r="C121" s="5">
        <v>0</v>
      </c>
      <c r="E121" s="2">
        <f>E120+D121</f>
        <v>28996.2</v>
      </c>
    </row>
    <row r="122">
      <c r="A122" s="0" t="inlineStr">
        <is>
          <t xml:space="preserve">2025-05-01</t>
        </is>
      </c>
      <c r="B122" s="0" t="inlineStr">
        <is>
          <t xml:space="preserve">Thu</t>
        </is>
      </c>
      <c r="C122" s="5">
        <v>0</v>
      </c>
      <c r="E122" s="2">
        <f>E121+D122</f>
        <v>28996.2</v>
      </c>
    </row>
    <row r="123">
      <c r="A123" s="0" t="inlineStr">
        <is>
          <t xml:space="preserve">2025-05-02</t>
        </is>
      </c>
      <c r="B123" s="0" t="inlineStr">
        <is>
          <t xml:space="preserve">Fri</t>
        </is>
      </c>
      <c r="C123" s="5">
        <v>0</v>
      </c>
      <c r="E123" s="2">
        <f>E122+D123</f>
        <v>28996.2</v>
      </c>
    </row>
    <row r="124">
      <c r="A124" s="0" t="inlineStr">
        <is>
          <t xml:space="preserve">2025-05-03</t>
        </is>
      </c>
      <c r="B124" s="0" t="inlineStr">
        <is>
          <t xml:space="preserve">Sat</t>
        </is>
      </c>
      <c r="C124" s="5">
        <v>0</v>
      </c>
      <c r="E124" s="2">
        <f>E123+D124</f>
        <v>28996.2</v>
      </c>
    </row>
    <row r="125">
      <c r="A125" s="0" t="inlineStr">
        <is>
          <t xml:space="preserve">2025-05-04</t>
        </is>
      </c>
      <c r="B125" s="0" t="inlineStr">
        <is>
          <t xml:space="preserve">Sun</t>
        </is>
      </c>
      <c r="C125" s="5">
        <v>0</v>
      </c>
      <c r="E125" s="2">
        <f>E124+D125</f>
        <v>28996.2</v>
      </c>
    </row>
    <row r="126">
      <c r="A126" s="0" t="inlineStr">
        <is>
          <t xml:space="preserve">2025-05-05</t>
        </is>
      </c>
      <c r="B126" s="0" t="inlineStr">
        <is>
          <t xml:space="preserve">Mon</t>
        </is>
      </c>
      <c r="C126" s="5">
        <v>0</v>
      </c>
      <c r="E126" s="2">
        <f>E125+D126</f>
        <v>28996.2</v>
      </c>
    </row>
    <row r="127">
      <c r="A127" s="0" t="inlineStr">
        <is>
          <t xml:space="preserve">2025-05-06</t>
        </is>
      </c>
      <c r="B127" s="0" t="inlineStr">
        <is>
          <t xml:space="preserve">Tue</t>
        </is>
      </c>
      <c r="C127" s="5">
        <v>0</v>
      </c>
      <c r="E127" s="2">
        <f>E126+D127</f>
        <v>28996.2</v>
      </c>
    </row>
    <row r="128">
      <c r="A128" s="0" t="inlineStr">
        <is>
          <t xml:space="preserve">2025-05-07</t>
        </is>
      </c>
      <c r="B128" s="0" t="inlineStr">
        <is>
          <t xml:space="preserve">Wed</t>
        </is>
      </c>
      <c r="C128" s="5">
        <v>0</v>
      </c>
      <c r="E128" s="2">
        <f>E127+D128</f>
        <v>28996.2</v>
      </c>
    </row>
    <row r="129">
      <c r="A129" s="0" t="inlineStr">
        <is>
          <t xml:space="preserve">2025-05-08</t>
        </is>
      </c>
      <c r="B129" s="0" t="inlineStr">
        <is>
          <t xml:space="preserve">Thu</t>
        </is>
      </c>
      <c r="C129" s="5">
        <v>0</v>
      </c>
      <c r="E129" s="2">
        <f>E128+D129</f>
        <v>28996.2</v>
      </c>
    </row>
    <row r="130">
      <c r="A130" s="0" t="inlineStr">
        <is>
          <t xml:space="preserve">2025-05-09</t>
        </is>
      </c>
      <c r="B130" s="0" t="inlineStr">
        <is>
          <t xml:space="preserve">Fri</t>
        </is>
      </c>
      <c r="C130" s="5">
        <v>0</v>
      </c>
      <c r="E130" s="2">
        <f>E129+D130</f>
        <v>28996.2</v>
      </c>
    </row>
    <row r="131">
      <c r="A131" s="0" t="inlineStr">
        <is>
          <t xml:space="preserve">2025-05-10</t>
        </is>
      </c>
      <c r="B131" s="0" t="inlineStr">
        <is>
          <t xml:space="preserve">Sat</t>
        </is>
      </c>
      <c r="C131" s="5">
        <v>0</v>
      </c>
      <c r="E131" s="2">
        <f>E130+D131</f>
        <v>28996.2</v>
      </c>
    </row>
    <row r="132">
      <c r="A132" s="0" t="inlineStr">
        <is>
          <t xml:space="preserve">2025-05-11</t>
        </is>
      </c>
      <c r="B132" s="0" t="inlineStr">
        <is>
          <t xml:space="preserve">Sun</t>
        </is>
      </c>
      <c r="C132" s="5">
        <v>0</v>
      </c>
      <c r="E132" s="2">
        <f>E131+D132</f>
        <v>28996.2</v>
      </c>
    </row>
    <row r="133">
      <c r="A133" s="0" t="inlineStr">
        <is>
          <t xml:space="preserve">2025-05-12</t>
        </is>
      </c>
      <c r="B133" s="0" t="inlineStr">
        <is>
          <t xml:space="preserve">Mon</t>
        </is>
      </c>
      <c r="C133" s="5">
        <v>0</v>
      </c>
      <c r="E133" s="2">
        <f>E132+D133</f>
        <v>28996.2</v>
      </c>
    </row>
    <row r="134">
      <c r="A134" s="0" t="inlineStr">
        <is>
          <t xml:space="preserve">2025-05-13</t>
        </is>
      </c>
      <c r="B134" s="0" t="inlineStr">
        <is>
          <t xml:space="preserve">Tue</t>
        </is>
      </c>
      <c r="C134" s="5">
        <v>0</v>
      </c>
      <c r="E134" s="2">
        <f>E133+D134</f>
        <v>28996.2</v>
      </c>
    </row>
    <row r="135">
      <c r="A135" s="0" t="inlineStr">
        <is>
          <t xml:space="preserve">2025-05-14</t>
        </is>
      </c>
      <c r="B135" s="0" t="inlineStr">
        <is>
          <t xml:space="preserve">Wed</t>
        </is>
      </c>
      <c r="C135" s="5">
        <v>0</v>
      </c>
      <c r="E135" s="2">
        <f>E134+D135</f>
        <v>28996.2</v>
      </c>
    </row>
    <row r="136">
      <c r="A136" s="0" t="inlineStr">
        <is>
          <t xml:space="preserve">2025-05-15</t>
        </is>
      </c>
      <c r="B136" s="0" t="inlineStr">
        <is>
          <t xml:space="preserve">Thu</t>
        </is>
      </c>
      <c r="C136" s="5">
        <v>0</v>
      </c>
      <c r="E136" s="2">
        <f>E135+D136</f>
        <v>28996.2</v>
      </c>
    </row>
    <row r="137">
      <c r="A137" s="0" t="inlineStr">
        <is>
          <t xml:space="preserve">2025-05-16</t>
        </is>
      </c>
      <c r="B137" s="0" t="inlineStr">
        <is>
          <t xml:space="preserve">Fri</t>
        </is>
      </c>
      <c r="C137" s="5">
        <v>0</v>
      </c>
      <c r="E137" s="2">
        <f>E136+D137</f>
        <v>28996.2</v>
      </c>
    </row>
    <row r="138">
      <c r="A138" s="0" t="inlineStr">
        <is>
          <t xml:space="preserve">2025-05-17</t>
        </is>
      </c>
      <c r="B138" s="0" t="inlineStr">
        <is>
          <t xml:space="preserve">Sat</t>
        </is>
      </c>
      <c r="C138" s="5">
        <v>0</v>
      </c>
      <c r="E138" s="2">
        <f>E137+D138</f>
        <v>28996.2</v>
      </c>
    </row>
    <row r="139">
      <c r="A139" s="0" t="inlineStr">
        <is>
          <t xml:space="preserve">2025-05-18</t>
        </is>
      </c>
      <c r="B139" s="0" t="inlineStr">
        <is>
          <t xml:space="preserve">Sun</t>
        </is>
      </c>
      <c r="C139" s="5">
        <v>0</v>
      </c>
      <c r="E139" s="2">
        <f>E138+D139</f>
        <v>28996.2</v>
      </c>
    </row>
    <row r="140">
      <c r="A140" s="0" t="inlineStr">
        <is>
          <t xml:space="preserve">2025-05-19</t>
        </is>
      </c>
      <c r="B140" s="0" t="inlineStr">
        <is>
          <t xml:space="preserve">Mon</t>
        </is>
      </c>
      <c r="C140" s="5">
        <v>0</v>
      </c>
      <c r="E140" s="2">
        <f>E139+D140</f>
        <v>28996.2</v>
      </c>
    </row>
    <row r="141">
      <c r="A141" s="0" t="inlineStr">
        <is>
          <t xml:space="preserve">2025-05-20</t>
        </is>
      </c>
      <c r="B141" s="0" t="inlineStr">
        <is>
          <t xml:space="preserve">Tue</t>
        </is>
      </c>
      <c r="C141" s="5">
        <v>0</v>
      </c>
      <c r="E141" s="2">
        <f>E140+D141</f>
        <v>28996.2</v>
      </c>
    </row>
    <row r="142">
      <c r="A142" s="0" t="inlineStr">
        <is>
          <t xml:space="preserve">2025-05-21</t>
        </is>
      </c>
      <c r="B142" s="0" t="inlineStr">
        <is>
          <t xml:space="preserve">Wed</t>
        </is>
      </c>
      <c r="C142" s="5">
        <v>0</v>
      </c>
      <c r="E142" s="2">
        <f>E141+D142</f>
        <v>28996.2</v>
      </c>
    </row>
    <row r="143">
      <c r="A143" s="0" t="inlineStr">
        <is>
          <t xml:space="preserve">2025-05-22</t>
        </is>
      </c>
      <c r="B143" s="0" t="inlineStr">
        <is>
          <t xml:space="preserve">Thu</t>
        </is>
      </c>
      <c r="C143" s="5">
        <v>0</v>
      </c>
      <c r="E143" s="2">
        <f>E142+D143</f>
        <v>28996.2</v>
      </c>
    </row>
    <row r="144">
      <c r="A144" s="0" t="inlineStr">
        <is>
          <t xml:space="preserve">2025-05-23</t>
        </is>
      </c>
      <c r="B144" s="0" t="inlineStr">
        <is>
          <t xml:space="preserve">Fri</t>
        </is>
      </c>
      <c r="C144" s="5">
        <v>0</v>
      </c>
      <c r="E144" s="2">
        <f>E143+D144</f>
        <v>28996.2</v>
      </c>
    </row>
    <row r="145">
      <c r="A145" s="0" t="inlineStr">
        <is>
          <t xml:space="preserve">2025-05-24</t>
        </is>
      </c>
      <c r="B145" s="0" t="inlineStr">
        <is>
          <t xml:space="preserve">Sat</t>
        </is>
      </c>
      <c r="C145" s="5">
        <v>0</v>
      </c>
      <c r="E145" s="2">
        <f>E144+D145</f>
        <v>28996.2</v>
      </c>
    </row>
    <row r="146">
      <c r="A146" s="0" t="inlineStr">
        <is>
          <t xml:space="preserve">2025-05-25</t>
        </is>
      </c>
      <c r="B146" s="0" t="inlineStr">
        <is>
          <t xml:space="preserve">Sun</t>
        </is>
      </c>
      <c r="C146" s="5">
        <v>0</v>
      </c>
      <c r="E146" s="2">
        <f>E145+D146</f>
        <v>28996.2</v>
      </c>
    </row>
    <row r="147">
      <c r="A147" s="0" t="inlineStr">
        <is>
          <t xml:space="preserve">2025-05-26</t>
        </is>
      </c>
      <c r="B147" s="0" t="inlineStr">
        <is>
          <t xml:space="preserve">Mon</t>
        </is>
      </c>
      <c r="C147" s="5">
        <v>0</v>
      </c>
      <c r="E147" s="2">
        <f>E146+D147</f>
        <v>28996.2</v>
      </c>
    </row>
    <row r="148">
      <c r="A148" s="0" t="inlineStr">
        <is>
          <t xml:space="preserve">2025-05-27</t>
        </is>
      </c>
      <c r="B148" s="0" t="inlineStr">
        <is>
          <t xml:space="preserve">Tue</t>
        </is>
      </c>
      <c r="C148" s="5">
        <v>0</v>
      </c>
      <c r="E148" s="2">
        <f>E147+D148</f>
        <v>28996.2</v>
      </c>
    </row>
    <row r="149">
      <c r="A149" s="0" t="inlineStr">
        <is>
          <t xml:space="preserve">2025-05-28</t>
        </is>
      </c>
      <c r="B149" s="0" t="inlineStr">
        <is>
          <t xml:space="preserve">Wed</t>
        </is>
      </c>
      <c r="C149" s="5">
        <v>0</v>
      </c>
      <c r="E149" s="2">
        <f>E148+D149</f>
        <v>28996.2</v>
      </c>
    </row>
    <row r="150">
      <c r="A150" s="0" t="inlineStr">
        <is>
          <t xml:space="preserve">2025-05-29</t>
        </is>
      </c>
      <c r="B150" s="0" t="inlineStr">
        <is>
          <t xml:space="preserve">Thu</t>
        </is>
      </c>
      <c r="C150" s="5">
        <v>0</v>
      </c>
      <c r="E150" s="2">
        <f>E149+D150</f>
        <v>28996.2</v>
      </c>
    </row>
    <row r="151">
      <c r="A151" s="0" t="inlineStr">
        <is>
          <t xml:space="preserve">2025-05-30</t>
        </is>
      </c>
      <c r="B151" s="0" t="inlineStr">
        <is>
          <t xml:space="preserve">Fri</t>
        </is>
      </c>
      <c r="C151" s="5">
        <v>0</v>
      </c>
      <c r="E151" s="2">
        <f>E150+D151</f>
        <v>28996.2</v>
      </c>
    </row>
    <row r="152">
      <c r="A152" s="0" t="inlineStr">
        <is>
          <t xml:space="preserve">2025-05-31</t>
        </is>
      </c>
      <c r="B152" s="0" t="inlineStr">
        <is>
          <t xml:space="preserve">Sat</t>
        </is>
      </c>
      <c r="C152" s="5">
        <v>0</v>
      </c>
      <c r="E152" s="2">
        <f>E151+D152</f>
        <v>28996.2</v>
      </c>
    </row>
    <row r="153">
      <c r="A153" s="0" t="inlineStr">
        <is>
          <t xml:space="preserve">2025-06-01</t>
        </is>
      </c>
      <c r="B153" s="0" t="inlineStr">
        <is>
          <t xml:space="preserve">Sun</t>
        </is>
      </c>
      <c r="C153" s="5">
        <v>0</v>
      </c>
      <c r="E153" s="2">
        <f>E152+D153</f>
        <v>28996.2</v>
      </c>
    </row>
    <row r="154">
      <c r="A154" s="0" t="inlineStr">
        <is>
          <t xml:space="preserve">2025-06-02</t>
        </is>
      </c>
      <c r="B154" s="0" t="inlineStr">
        <is>
          <t xml:space="preserve">Mon</t>
        </is>
      </c>
      <c r="C154" s="5">
        <v>0</v>
      </c>
      <c r="E154" s="2">
        <f>E153+D154</f>
        <v>28996.2</v>
      </c>
    </row>
    <row r="155">
      <c r="A155" s="0" t="inlineStr">
        <is>
          <t xml:space="preserve">2025-06-03</t>
        </is>
      </c>
      <c r="B155" s="0" t="inlineStr">
        <is>
          <t xml:space="preserve">Tue</t>
        </is>
      </c>
      <c r="C155" s="5">
        <v>0</v>
      </c>
      <c r="E155" s="2">
        <f>E154+D155</f>
        <v>28996.2</v>
      </c>
    </row>
    <row r="156">
      <c r="A156" s="0" t="inlineStr">
        <is>
          <t xml:space="preserve">2025-06-04</t>
        </is>
      </c>
      <c r="B156" s="0" t="inlineStr">
        <is>
          <t xml:space="preserve">Wed</t>
        </is>
      </c>
      <c r="C156" s="5">
        <v>0</v>
      </c>
      <c r="E156" s="2">
        <f>E155+D156</f>
        <v>28996.2</v>
      </c>
    </row>
    <row r="157">
      <c r="A157" s="0" t="inlineStr">
        <is>
          <t xml:space="preserve">2025-06-05</t>
        </is>
      </c>
      <c r="B157" s="0" t="inlineStr">
        <is>
          <t xml:space="preserve">Thu</t>
        </is>
      </c>
      <c r="C157" s="5">
        <v>0</v>
      </c>
      <c r="E157" s="2">
        <f>E156+D157</f>
        <v>28996.2</v>
      </c>
    </row>
    <row r="158">
      <c r="A158" s="0" t="inlineStr">
        <is>
          <t xml:space="preserve">2025-06-06</t>
        </is>
      </c>
      <c r="B158" s="0" t="inlineStr">
        <is>
          <t xml:space="preserve">Fri</t>
        </is>
      </c>
      <c r="C158" s="5">
        <v>0</v>
      </c>
      <c r="E158" s="2">
        <f>E157+D158</f>
        <v>28996.2</v>
      </c>
    </row>
    <row r="159">
      <c r="A159" s="0" t="inlineStr">
        <is>
          <t xml:space="preserve">2025-06-07</t>
        </is>
      </c>
      <c r="B159" s="0" t="inlineStr">
        <is>
          <t xml:space="preserve">Sat</t>
        </is>
      </c>
      <c r="C159" s="5">
        <v>0</v>
      </c>
      <c r="E159" s="2">
        <f>E158+D159</f>
        <v>28996.2</v>
      </c>
    </row>
    <row r="160">
      <c r="A160" s="0" t="inlineStr">
        <is>
          <t xml:space="preserve">2025-06-08</t>
        </is>
      </c>
      <c r="B160" s="0" t="inlineStr">
        <is>
          <t xml:space="preserve">Sun</t>
        </is>
      </c>
      <c r="C160" s="5">
        <v>0</v>
      </c>
      <c r="E160" s="2">
        <f>E159+D160</f>
        <v>28996.2</v>
      </c>
    </row>
    <row r="161">
      <c r="A161" s="0" t="inlineStr">
        <is>
          <t xml:space="preserve">2025-06-09</t>
        </is>
      </c>
      <c r="B161" s="0" t="inlineStr">
        <is>
          <t xml:space="preserve">Mon</t>
        </is>
      </c>
      <c r="C161" s="5">
        <v>0</v>
      </c>
      <c r="E161" s="2">
        <f>E160+D161</f>
        <v>28996.2</v>
      </c>
    </row>
    <row r="162">
      <c r="A162" s="0" t="inlineStr">
        <is>
          <t xml:space="preserve">2025-06-10</t>
        </is>
      </c>
      <c r="B162" s="0" t="inlineStr">
        <is>
          <t xml:space="preserve">Tue</t>
        </is>
      </c>
      <c r="C162" s="5">
        <v>0</v>
      </c>
      <c r="E162" s="2">
        <f>E161+D162</f>
        <v>28996.2</v>
      </c>
    </row>
    <row r="163">
      <c r="A163" s="0" t="inlineStr">
        <is>
          <t xml:space="preserve">2025-06-11</t>
        </is>
      </c>
      <c r="B163" s="0" t="inlineStr">
        <is>
          <t xml:space="preserve">Wed</t>
        </is>
      </c>
      <c r="C163" s="5">
        <v>0</v>
      </c>
      <c r="E163" s="2">
        <f>E162+D163</f>
        <v>28996.2</v>
      </c>
    </row>
    <row r="164">
      <c r="A164" s="0" t="inlineStr">
        <is>
          <t xml:space="preserve">2025-06-12</t>
        </is>
      </c>
      <c r="B164" s="0" t="inlineStr">
        <is>
          <t xml:space="preserve">Thu</t>
        </is>
      </c>
      <c r="C164" s="5">
        <v>0</v>
      </c>
      <c r="E164" s="2">
        <f>E163+D164</f>
        <v>28996.2</v>
      </c>
    </row>
    <row r="165">
      <c r="A165" s="0" t="inlineStr">
        <is>
          <t xml:space="preserve">2025-06-13</t>
        </is>
      </c>
      <c r="B165" s="0" t="inlineStr">
        <is>
          <t xml:space="preserve">Fri</t>
        </is>
      </c>
      <c r="C165" s="5">
        <v>0</v>
      </c>
      <c r="E165" s="2">
        <f>E164+D165</f>
        <v>28996.2</v>
      </c>
    </row>
    <row r="166">
      <c r="A166" s="0" t="inlineStr">
        <is>
          <t xml:space="preserve">2025-06-14</t>
        </is>
      </c>
      <c r="B166" s="0" t="inlineStr">
        <is>
          <t xml:space="preserve">Sat</t>
        </is>
      </c>
      <c r="C166" s="5">
        <v>0</v>
      </c>
      <c r="E166" s="2">
        <f>E165+D166</f>
        <v>28996.2</v>
      </c>
    </row>
    <row r="167">
      <c r="A167" s="0" t="inlineStr">
        <is>
          <t xml:space="preserve">2025-06-15</t>
        </is>
      </c>
      <c r="B167" s="0" t="inlineStr">
        <is>
          <t xml:space="preserve">Sun</t>
        </is>
      </c>
      <c r="C167" s="5">
        <v>0</v>
      </c>
      <c r="E167" s="2">
        <f>E166+D167</f>
        <v>28996.2</v>
      </c>
    </row>
    <row r="168">
      <c r="A168" s="0" t="inlineStr">
        <is>
          <t xml:space="preserve">2025-06-16</t>
        </is>
      </c>
      <c r="B168" s="0" t="inlineStr">
        <is>
          <t xml:space="preserve">Mon</t>
        </is>
      </c>
      <c r="C168" s="5">
        <v>0</v>
      </c>
      <c r="E168" s="2">
        <f>E167+D168</f>
        <v>28996.2</v>
      </c>
    </row>
    <row r="169">
      <c r="A169" s="0" t="inlineStr">
        <is>
          <t xml:space="preserve">2025-06-17</t>
        </is>
      </c>
      <c r="B169" s="0" t="inlineStr">
        <is>
          <t xml:space="preserve">Tue</t>
        </is>
      </c>
      <c r="C169" s="5">
        <v>0</v>
      </c>
      <c r="E169" s="2">
        <f>E168+D169</f>
        <v>28996.2</v>
      </c>
    </row>
    <row r="170">
      <c r="A170" s="0" t="inlineStr">
        <is>
          <t xml:space="preserve">2025-06-18</t>
        </is>
      </c>
      <c r="B170" s="0" t="inlineStr">
        <is>
          <t xml:space="preserve">Wed</t>
        </is>
      </c>
      <c r="C170" s="5">
        <v>0</v>
      </c>
      <c r="E170" s="2">
        <f>E169+D170</f>
        <v>28996.2</v>
      </c>
    </row>
    <row r="171">
      <c r="A171" s="0" t="inlineStr">
        <is>
          <t xml:space="preserve">2025-06-19</t>
        </is>
      </c>
      <c r="B171" s="0" t="inlineStr">
        <is>
          <t xml:space="preserve">Thu</t>
        </is>
      </c>
      <c r="C171" s="5">
        <v>0</v>
      </c>
      <c r="E171" s="2">
        <f>E170+D171</f>
        <v>28996.2</v>
      </c>
    </row>
    <row r="172">
      <c r="A172" s="0" t="inlineStr">
        <is>
          <t xml:space="preserve">2025-06-20</t>
        </is>
      </c>
      <c r="B172" s="0" t="inlineStr">
        <is>
          <t xml:space="preserve">Fri</t>
        </is>
      </c>
      <c r="C172" s="5">
        <v>0</v>
      </c>
      <c r="E172" s="2">
        <f>E171+D172</f>
        <v>28996.2</v>
      </c>
    </row>
    <row r="173">
      <c r="A173" s="0" t="inlineStr">
        <is>
          <t xml:space="preserve">2025-06-21</t>
        </is>
      </c>
      <c r="B173" s="0" t="inlineStr">
        <is>
          <t xml:space="preserve">Sat</t>
        </is>
      </c>
      <c r="C173" s="5">
        <v>0</v>
      </c>
      <c r="E173" s="2">
        <f>E172+D173</f>
        <v>28996.2</v>
      </c>
    </row>
    <row r="174">
      <c r="A174" s="0" t="inlineStr">
        <is>
          <t xml:space="preserve">2025-06-22</t>
        </is>
      </c>
      <c r="B174" s="0" t="inlineStr">
        <is>
          <t xml:space="preserve">Sun</t>
        </is>
      </c>
      <c r="C174" s="5">
        <v>0</v>
      </c>
      <c r="E174" s="2">
        <f>E173+D174</f>
        <v>28996.2</v>
      </c>
    </row>
    <row r="175">
      <c r="A175" s="0" t="inlineStr">
        <is>
          <t xml:space="preserve">2025-06-23</t>
        </is>
      </c>
      <c r="B175" s="0" t="inlineStr">
        <is>
          <t xml:space="preserve">Mon</t>
        </is>
      </c>
      <c r="C175" s="5">
        <v>0</v>
      </c>
      <c r="E175" s="2">
        <f>E174+D175</f>
        <v>28996.2</v>
      </c>
    </row>
    <row r="176">
      <c r="A176" s="0" t="inlineStr">
        <is>
          <t xml:space="preserve">2025-06-24</t>
        </is>
      </c>
      <c r="B176" s="0" t="inlineStr">
        <is>
          <t xml:space="preserve">Tue</t>
        </is>
      </c>
      <c r="C176" s="5">
        <v>0</v>
      </c>
      <c r="E176" s="2">
        <f>E175+D176</f>
        <v>28996.2</v>
      </c>
    </row>
    <row r="177">
      <c r="A177" s="0" t="inlineStr">
        <is>
          <t xml:space="preserve">2025-06-25</t>
        </is>
      </c>
      <c r="B177" s="0" t="inlineStr">
        <is>
          <t xml:space="preserve">Wed</t>
        </is>
      </c>
      <c r="C177" s="5">
        <v>0</v>
      </c>
      <c r="E177" s="2">
        <f>E176+D177</f>
        <v>28996.2</v>
      </c>
    </row>
    <row r="178">
      <c r="A178" s="0" t="inlineStr">
        <is>
          <t xml:space="preserve">2025-06-26</t>
        </is>
      </c>
      <c r="B178" s="0" t="inlineStr">
        <is>
          <t xml:space="preserve">Thu</t>
        </is>
      </c>
      <c r="C178" s="5">
        <v>0</v>
      </c>
      <c r="E178" s="2">
        <f>E177+D178</f>
        <v>28996.2</v>
      </c>
    </row>
    <row r="179">
      <c r="A179" s="0" t="inlineStr">
        <is>
          <t xml:space="preserve">2025-06-27</t>
        </is>
      </c>
      <c r="B179" s="0" t="inlineStr">
        <is>
          <t xml:space="preserve">Fri</t>
        </is>
      </c>
      <c r="C179" s="5">
        <v>1</v>
      </c>
      <c r="D179" s="2">
        <v>327.0</v>
      </c>
      <c r="E179" s="2">
        <f>E178+D179</f>
        <v>29323.2</v>
      </c>
    </row>
    <row r="180">
      <c r="A180" s="0" t="inlineStr">
        <is>
          <t xml:space="preserve">2025-06-28</t>
        </is>
      </c>
      <c r="B180" s="0" t="inlineStr">
        <is>
          <t xml:space="preserve">Sat</t>
        </is>
      </c>
      <c r="C180" s="5">
        <v>0</v>
      </c>
      <c r="E180" s="2">
        <f>E179+D180</f>
        <v>29323.2</v>
      </c>
    </row>
    <row r="181">
      <c r="A181" s="0" t="inlineStr">
        <is>
          <t xml:space="preserve">2025-06-29</t>
        </is>
      </c>
      <c r="B181" s="0" t="inlineStr">
        <is>
          <t xml:space="preserve">Sun</t>
        </is>
      </c>
      <c r="C181" s="5">
        <v>0</v>
      </c>
      <c r="E181" s="2">
        <f>E180+D181</f>
        <v>29323.2</v>
      </c>
    </row>
    <row r="182">
      <c r="A182" s="0" t="inlineStr">
        <is>
          <t xml:space="preserve">2025-06-30</t>
        </is>
      </c>
      <c r="B182" s="0" t="inlineStr">
        <is>
          <t xml:space="preserve">Mon</t>
        </is>
      </c>
      <c r="C182" s="5">
        <v>1</v>
      </c>
      <c r="D182" s="2">
        <v>-6.44</v>
      </c>
      <c r="E182" s="2">
        <f>E181+D182</f>
        <v>29316.76</v>
      </c>
    </row>
    <row r="183">
      <c r="A183" s="0" t="inlineStr">
        <is>
          <t xml:space="preserve">2025-07-01</t>
        </is>
      </c>
      <c r="B183" s="0" t="inlineStr">
        <is>
          <t xml:space="preserve">Tue</t>
        </is>
      </c>
      <c r="C183" s="5">
        <v>0</v>
      </c>
      <c r="E183" s="2">
        <f>E182+D183</f>
        <v>29316.76</v>
      </c>
    </row>
    <row r="184">
      <c r="A184" s="0" t="inlineStr">
        <is>
          <t xml:space="preserve">2025-07-02</t>
        </is>
      </c>
      <c r="B184" s="0" t="inlineStr">
        <is>
          <t xml:space="preserve">Wed</t>
        </is>
      </c>
      <c r="C184" s="5">
        <v>1</v>
      </c>
      <c r="D184" s="2">
        <v>-2398.97</v>
      </c>
      <c r="E184" s="2">
        <f>E183+D184</f>
        <v>26917.79</v>
      </c>
    </row>
    <row r="185">
      <c r="A185" s="0" t="inlineStr">
        <is>
          <t xml:space="preserve">2025-07-03</t>
        </is>
      </c>
      <c r="B185" s="0" t="inlineStr">
        <is>
          <t xml:space="preserve">Thu</t>
        </is>
      </c>
      <c r="C185" s="5">
        <v>0</v>
      </c>
      <c r="E185" s="2">
        <f>E184+D185</f>
        <v>26917.79</v>
      </c>
    </row>
    <row r="186">
      <c r="A186" s="0" t="inlineStr">
        <is>
          <t xml:space="preserve">2025-07-04</t>
        </is>
      </c>
      <c r="B186" s="0" t="inlineStr">
        <is>
          <t xml:space="preserve">Fri</t>
        </is>
      </c>
      <c r="C186" s="5">
        <v>0</v>
      </c>
      <c r="E186" s="2">
        <f>E185+D186</f>
        <v>26917.79</v>
      </c>
    </row>
    <row r="187">
      <c r="A187" s="0" t="inlineStr">
        <is>
          <t xml:space="preserve">2025-07-05</t>
        </is>
      </c>
      <c r="B187" s="0" t="inlineStr">
        <is>
          <t xml:space="preserve">Sat</t>
        </is>
      </c>
      <c r="C187" s="5">
        <v>0</v>
      </c>
      <c r="E187" s="2">
        <f>E186+D187</f>
        <v>26917.79</v>
      </c>
    </row>
    <row r="188">
      <c r="A188" s="0" t="inlineStr">
        <is>
          <t xml:space="preserve">2025-07-06</t>
        </is>
      </c>
      <c r="B188" s="0" t="inlineStr">
        <is>
          <t xml:space="preserve">Sun</t>
        </is>
      </c>
      <c r="C188" s="5">
        <v>0</v>
      </c>
      <c r="E188" s="2">
        <f>E187+D188</f>
        <v>26917.79</v>
      </c>
    </row>
    <row r="189">
      <c r="A189" s="0" t="inlineStr">
        <is>
          <t xml:space="preserve">2025-07-07</t>
        </is>
      </c>
      <c r="B189" s="0" t="inlineStr">
        <is>
          <t xml:space="preserve">Mon</t>
        </is>
      </c>
      <c r="C189" s="5">
        <v>0</v>
      </c>
      <c r="E189" s="2">
        <f>E188+D189</f>
        <v>26917.79</v>
      </c>
    </row>
    <row r="190">
      <c r="A190" s="0" t="inlineStr">
        <is>
          <t xml:space="preserve">2025-07-08</t>
        </is>
      </c>
      <c r="B190" s="0" t="inlineStr">
        <is>
          <t xml:space="preserve">Tue</t>
        </is>
      </c>
      <c r="C190" s="5">
        <v>0</v>
      </c>
      <c r="E190" s="2">
        <f>E189+D190</f>
        <v>26917.79</v>
      </c>
    </row>
    <row r="191">
      <c r="A191" s="0" t="inlineStr">
        <is>
          <t xml:space="preserve">2025-07-09</t>
        </is>
      </c>
      <c r="B191" s="0" t="inlineStr">
        <is>
          <t xml:space="preserve">Wed</t>
        </is>
      </c>
      <c r="C191" s="5">
        <v>1</v>
      </c>
      <c r="D191" s="2">
        <v>6347.78</v>
      </c>
      <c r="E191" s="2">
        <f>E190+D191</f>
        <v>33265.57</v>
      </c>
    </row>
    <row r="192">
      <c r="A192" s="0" t="inlineStr">
        <is>
          <t xml:space="preserve">2025-07-10</t>
        </is>
      </c>
      <c r="B192" s="0" t="inlineStr">
        <is>
          <t xml:space="preserve">Thu</t>
        </is>
      </c>
      <c r="C192" s="5">
        <v>0</v>
      </c>
      <c r="E192" s="2">
        <f>E191+D192</f>
        <v>33265.57</v>
      </c>
    </row>
    <row r="193">
      <c r="A193" s="0" t="inlineStr">
        <is>
          <t xml:space="preserve">2025-07-11</t>
        </is>
      </c>
      <c r="B193" s="0" t="inlineStr">
        <is>
          <t xml:space="preserve">Fri</t>
        </is>
      </c>
      <c r="C193" s="5">
        <v>0</v>
      </c>
      <c r="E193" s="2">
        <f>E192+D193</f>
        <v>33265.57</v>
      </c>
    </row>
    <row r="194">
      <c r="A194" s="0" t="inlineStr">
        <is>
          <t xml:space="preserve">2025-07-12</t>
        </is>
      </c>
      <c r="B194" s="0" t="inlineStr">
        <is>
          <t xml:space="preserve">Sat</t>
        </is>
      </c>
      <c r="C194" s="5">
        <v>2</v>
      </c>
      <c r="D194" s="2">
        <v>-237.64</v>
      </c>
      <c r="E194" s="2">
        <f>E193+D194</f>
        <v>33027.93</v>
      </c>
    </row>
    <row r="195">
      <c r="A195" s="0" t="inlineStr">
        <is>
          <t xml:space="preserve">2025-07-13</t>
        </is>
      </c>
      <c r="B195" s="0" t="inlineStr">
        <is>
          <t xml:space="preserve">Sun</t>
        </is>
      </c>
      <c r="C195" s="5">
        <v>0</v>
      </c>
      <c r="E195" s="2">
        <f>E194+D195</f>
        <v>33027.93</v>
      </c>
    </row>
    <row r="196">
      <c r="A196" s="0" t="inlineStr">
        <is>
          <t xml:space="preserve">2025-07-14</t>
        </is>
      </c>
      <c r="B196" s="0" t="inlineStr">
        <is>
          <t xml:space="preserve">Mon</t>
        </is>
      </c>
      <c r="C196" s="5">
        <v>0</v>
      </c>
      <c r="E196" s="2">
        <f>E195+D196</f>
        <v>33027.93</v>
      </c>
    </row>
    <row r="197">
      <c r="A197" s="0" t="inlineStr">
        <is>
          <t xml:space="preserve">2025-07-15</t>
        </is>
      </c>
      <c r="B197" s="0" t="inlineStr">
        <is>
          <t xml:space="preserve">Tue</t>
        </is>
      </c>
      <c r="C197" s="5">
        <v>0</v>
      </c>
      <c r="E197" s="2">
        <f>E196+D197</f>
        <v>33027.93</v>
      </c>
    </row>
    <row r="198">
      <c r="A198" s="0" t="inlineStr">
        <is>
          <t xml:space="preserve">2025-07-16</t>
        </is>
      </c>
      <c r="B198" s="0" t="inlineStr">
        <is>
          <t xml:space="preserve">Wed</t>
        </is>
      </c>
      <c r="C198" s="5">
        <v>0</v>
      </c>
      <c r="E198" s="2">
        <f>E197+D198</f>
        <v>33027.93</v>
      </c>
    </row>
    <row r="199">
      <c r="A199" s="0" t="inlineStr">
        <is>
          <t xml:space="preserve">2025-07-17</t>
        </is>
      </c>
      <c r="B199" s="0" t="inlineStr">
        <is>
          <t xml:space="preserve">Thu</t>
        </is>
      </c>
      <c r="C199" s="5">
        <v>1</v>
      </c>
      <c r="D199" s="2">
        <v>1380.0</v>
      </c>
      <c r="E199" s="2">
        <f>E198+D199</f>
        <v>34407.93</v>
      </c>
    </row>
    <row r="200">
      <c r="A200" s="0" t="inlineStr">
        <is>
          <t xml:space="preserve">2025-07-18</t>
        </is>
      </c>
      <c r="B200" s="0" t="inlineStr">
        <is>
          <t xml:space="preserve">Fri</t>
        </is>
      </c>
      <c r="C200" s="5">
        <v>0</v>
      </c>
      <c r="E200" s="2">
        <f>E199+D200</f>
        <v>34407.93</v>
      </c>
    </row>
    <row r="201">
      <c r="A201" s="0" t="inlineStr">
        <is>
          <t xml:space="preserve">2025-07-19</t>
        </is>
      </c>
      <c r="B201" s="0" t="inlineStr">
        <is>
          <t xml:space="preserve">Sat</t>
        </is>
      </c>
      <c r="C201" s="5">
        <v>0</v>
      </c>
      <c r="E201" s="2">
        <f>E200+D201</f>
        <v>34407.93</v>
      </c>
    </row>
    <row r="202">
      <c r="A202" s="0" t="inlineStr">
        <is>
          <t xml:space="preserve">2025-07-20</t>
        </is>
      </c>
      <c r="B202" s="0" t="inlineStr">
        <is>
          <t xml:space="preserve">Sun</t>
        </is>
      </c>
      <c r="C202" s="5">
        <v>0</v>
      </c>
      <c r="E202" s="2">
        <f>E201+D202</f>
        <v>34407.93</v>
      </c>
    </row>
    <row r="203">
      <c r="A203" s="0" t="inlineStr">
        <is>
          <t xml:space="preserve">2025-07-21</t>
        </is>
      </c>
      <c r="B203" s="0" t="inlineStr">
        <is>
          <t xml:space="preserve">Mon</t>
        </is>
      </c>
      <c r="C203" s="5">
        <v>0</v>
      </c>
      <c r="E203" s="2">
        <f>E202+D203</f>
        <v>34407.93</v>
      </c>
    </row>
    <row r="204">
      <c r="A204" s="0" t="inlineStr">
        <is>
          <t xml:space="preserve">2025-07-22</t>
        </is>
      </c>
      <c r="B204" s="0" t="inlineStr">
        <is>
          <t xml:space="preserve">Tue</t>
        </is>
      </c>
      <c r="C204" s="5">
        <v>0</v>
      </c>
      <c r="E204" s="2">
        <f>E203+D204</f>
        <v>34407.93</v>
      </c>
    </row>
    <row r="205">
      <c r="A205" s="0" t="inlineStr">
        <is>
          <t xml:space="preserve">2025-07-23</t>
        </is>
      </c>
      <c r="B205" s="0" t="inlineStr">
        <is>
          <t xml:space="preserve">Wed</t>
        </is>
      </c>
      <c r="C205" s="5">
        <v>0</v>
      </c>
      <c r="E205" s="2">
        <f>E204+D205</f>
        <v>34407.93</v>
      </c>
    </row>
    <row r="206">
      <c r="A206" s="0" t="inlineStr">
        <is>
          <t xml:space="preserve">2025-07-24</t>
        </is>
      </c>
      <c r="B206" s="0" t="inlineStr">
        <is>
          <t xml:space="preserve">Thu</t>
        </is>
      </c>
      <c r="C206" s="5">
        <v>0</v>
      </c>
      <c r="E206" s="2">
        <f>E205+D206</f>
        <v>34407.93</v>
      </c>
    </row>
    <row r="207">
      <c r="A207" s="0" t="inlineStr">
        <is>
          <t xml:space="preserve">2025-07-25</t>
        </is>
      </c>
      <c r="B207" s="0" t="inlineStr">
        <is>
          <t xml:space="preserve">Fri</t>
        </is>
      </c>
      <c r="C207" s="5">
        <v>0</v>
      </c>
      <c r="E207" s="2">
        <f>E206+D207</f>
        <v>34407.93</v>
      </c>
    </row>
    <row r="208">
      <c r="A208" s="0" t="inlineStr">
        <is>
          <t xml:space="preserve">2025-07-26</t>
        </is>
      </c>
      <c r="B208" s="0" t="inlineStr">
        <is>
          <t xml:space="preserve">Sat</t>
        </is>
      </c>
      <c r="C208" s="5">
        <v>0</v>
      </c>
      <c r="E208" s="2">
        <f>E207+D208</f>
        <v>34407.93</v>
      </c>
    </row>
    <row r="209">
      <c r="A209" s="0" t="inlineStr">
        <is>
          <t xml:space="preserve">2025-07-27</t>
        </is>
      </c>
      <c r="B209" s="0" t="inlineStr">
        <is>
          <t xml:space="preserve">Sun</t>
        </is>
      </c>
      <c r="C209" s="5">
        <v>0</v>
      </c>
      <c r="E209" s="2">
        <f>E208+D209</f>
        <v>34407.93</v>
      </c>
    </row>
    <row r="210">
      <c r="A210" s="0" t="inlineStr">
        <is>
          <t xml:space="preserve">2025-07-28</t>
        </is>
      </c>
      <c r="B210" s="0" t="inlineStr">
        <is>
          <t xml:space="preserve">Mon</t>
        </is>
      </c>
      <c r="C210" s="5">
        <v>0</v>
      </c>
      <c r="E210" s="2">
        <f>E209+D210</f>
        <v>34407.93</v>
      </c>
    </row>
    <row r="211">
      <c r="A211" s="0" t="inlineStr">
        <is>
          <t xml:space="preserve">2025-07-29</t>
        </is>
      </c>
      <c r="B211" s="0" t="inlineStr">
        <is>
          <t xml:space="preserve">Tue</t>
        </is>
      </c>
      <c r="C211" s="5">
        <v>0</v>
      </c>
      <c r="E211" s="2">
        <f>E210+D211</f>
        <v>34407.93</v>
      </c>
    </row>
    <row r="212">
      <c r="A212" s="0" t="inlineStr">
        <is>
          <t xml:space="preserve">2025-07-30</t>
        </is>
      </c>
      <c r="B212" s="0" t="inlineStr">
        <is>
          <t xml:space="preserve">Wed</t>
        </is>
      </c>
      <c r="C212" s="5">
        <v>0</v>
      </c>
      <c r="E212" s="2">
        <f>E211+D212</f>
        <v>34407.93</v>
      </c>
    </row>
    <row r="213">
      <c r="A213" s="1" t="inlineStr">
        <is>
          <t xml:space="preserve">2025-07-31</t>
        </is>
      </c>
      <c r="B213" s="1" t="inlineStr">
        <is>
          <t xml:space="preserve">Thu</t>
        </is>
      </c>
      <c r="C213" s="6">
        <v>1</v>
      </c>
      <c r="D213" s="3">
        <v>750.0</v>
      </c>
      <c r="E213" s="3">
        <f>E212+D213</f>
        <v>35157.93</v>
      </c>
      <c r="F213" s="1" t="inlineStr">
        <is>
          <t xml:space="preserve">PEAK</t>
        </is>
      </c>
    </row>
    <row r="214">
      <c r="A214" s="0" t="inlineStr">
        <is>
          <t xml:space="preserve">2025-08-01</t>
        </is>
      </c>
      <c r="B214" s="0" t="inlineStr">
        <is>
          <t xml:space="preserve">Fri</t>
        </is>
      </c>
      <c r="C214" s="5">
        <v>0</v>
      </c>
      <c r="E214" s="2">
        <f>E213+D214</f>
        <v>35157.93</v>
      </c>
      <c r="F214" s="0" t="inlineStr">
        <is>
          <t xml:space="preserve">peak held</t>
        </is>
      </c>
    </row>
    <row r="215">
      <c r="A215" s="0" t="inlineStr">
        <is>
          <t xml:space="preserve">2025-08-02</t>
        </is>
      </c>
      <c r="B215" s="0" t="inlineStr">
        <is>
          <t xml:space="preserve">Sat</t>
        </is>
      </c>
      <c r="C215" s="5">
        <v>0</v>
      </c>
      <c r="E215" s="2">
        <f>E214+D215</f>
        <v>35157.93</v>
      </c>
      <c r="F215" s="0" t="inlineStr">
        <is>
          <t xml:space="preserve">peak held</t>
        </is>
      </c>
    </row>
    <row r="216">
      <c r="A216" s="0" t="inlineStr">
        <is>
          <t xml:space="preserve">2025-08-03</t>
        </is>
      </c>
      <c r="B216" s="0" t="inlineStr">
        <is>
          <t xml:space="preserve">Sun</t>
        </is>
      </c>
      <c r="C216" s="5">
        <v>0</v>
      </c>
      <c r="E216" s="2">
        <f>E215+D216</f>
        <v>35157.93</v>
      </c>
      <c r="F216" s="0" t="inlineStr">
        <is>
          <t xml:space="preserve">peak held</t>
        </is>
      </c>
    </row>
    <row r="217">
      <c r="A217" s="0" t="inlineStr">
        <is>
          <t xml:space="preserve">2025-08-04</t>
        </is>
      </c>
      <c r="B217" s="0" t="inlineStr">
        <is>
          <t xml:space="preserve">Mon</t>
        </is>
      </c>
      <c r="C217" s="5">
        <v>1</v>
      </c>
      <c r="D217" s="2">
        <v>-6600.54</v>
      </c>
      <c r="E217" s="2">
        <f>E216+D217</f>
        <v>28557.39</v>
      </c>
    </row>
    <row r="218">
      <c r="A218" s="0" t="inlineStr">
        <is>
          <t xml:space="preserve">2025-08-05</t>
        </is>
      </c>
      <c r="B218" s="0" t="inlineStr">
        <is>
          <t xml:space="preserve">Tue</t>
        </is>
      </c>
      <c r="C218" s="5">
        <v>0</v>
      </c>
      <c r="E218" s="2">
        <f>E217+D218</f>
        <v>28557.39</v>
      </c>
    </row>
    <row r="219">
      <c r="A219" s="0" t="inlineStr">
        <is>
          <t xml:space="preserve">2025-08-06</t>
        </is>
      </c>
      <c r="B219" s="0" t="inlineStr">
        <is>
          <t xml:space="preserve">Wed</t>
        </is>
      </c>
      <c r="C219" s="5">
        <v>0</v>
      </c>
      <c r="E219" s="2">
        <f>E218+D219</f>
        <v>28557.39</v>
      </c>
    </row>
    <row r="220">
      <c r="A220" s="0" t="inlineStr">
        <is>
          <t xml:space="preserve">2025-08-07</t>
        </is>
      </c>
      <c r="B220" s="0" t="inlineStr">
        <is>
          <t xml:space="preserve">Thu</t>
        </is>
      </c>
      <c r="C220" s="5">
        <v>0</v>
      </c>
      <c r="E220" s="2">
        <f>E219+D220</f>
        <v>28557.39</v>
      </c>
    </row>
    <row r="221">
      <c r="A221" s="0" t="inlineStr">
        <is>
          <t xml:space="preserve">2025-08-08</t>
        </is>
      </c>
      <c r="B221" s="0" t="inlineStr">
        <is>
          <t xml:space="preserve">Fri</t>
        </is>
      </c>
      <c r="C221" s="5">
        <v>0</v>
      </c>
      <c r="E221" s="2">
        <f>E220+D221</f>
        <v>28557.39</v>
      </c>
    </row>
    <row r="222">
      <c r="A222" s="0" t="inlineStr">
        <is>
          <t xml:space="preserve">2025-08-09</t>
        </is>
      </c>
      <c r="B222" s="0" t="inlineStr">
        <is>
          <t xml:space="preserve">Sat</t>
        </is>
      </c>
      <c r="C222" s="5">
        <v>0</v>
      </c>
      <c r="E222" s="2">
        <f>E221+D222</f>
        <v>28557.39</v>
      </c>
    </row>
    <row r="223">
      <c r="A223" s="0" t="inlineStr">
        <is>
          <t xml:space="preserve">2025-08-10</t>
        </is>
      </c>
      <c r="B223" s="0" t="inlineStr">
        <is>
          <t xml:space="preserve">Sun</t>
        </is>
      </c>
      <c r="C223" s="5">
        <v>0</v>
      </c>
      <c r="E223" s="2">
        <f>E222+D223</f>
        <v>28557.39</v>
      </c>
    </row>
    <row r="224">
      <c r="A224" s="0" t="inlineStr">
        <is>
          <t xml:space="preserve">2025-08-11</t>
        </is>
      </c>
      <c r="B224" s="0" t="inlineStr">
        <is>
          <t xml:space="preserve">Mon</t>
        </is>
      </c>
      <c r="C224" s="5">
        <v>0</v>
      </c>
      <c r="E224" s="2">
        <f>E223+D224</f>
        <v>28557.39</v>
      </c>
    </row>
    <row r="225">
      <c r="A225" s="0" t="inlineStr">
        <is>
          <t xml:space="preserve">2025-08-12</t>
        </is>
      </c>
      <c r="B225" s="0" t="inlineStr">
        <is>
          <t xml:space="preserve">Tue</t>
        </is>
      </c>
      <c r="C225" s="5">
        <v>0</v>
      </c>
      <c r="E225" s="2">
        <f>E224+D225</f>
        <v>28557.39</v>
      </c>
    </row>
    <row r="226">
      <c r="A226" s="0" t="inlineStr">
        <is>
          <t xml:space="preserve">2025-08-13</t>
        </is>
      </c>
      <c r="B226" s="0" t="inlineStr">
        <is>
          <t xml:space="preserve">Wed</t>
        </is>
      </c>
      <c r="C226" s="5">
        <v>1</v>
      </c>
      <c r="D226" s="2">
        <v>0.69</v>
      </c>
      <c r="E226" s="2">
        <f>E225+D226</f>
        <v>28558.08</v>
      </c>
    </row>
    <row r="227">
      <c r="A227" s="0" t="inlineStr">
        <is>
          <t xml:space="preserve">2025-08-14</t>
        </is>
      </c>
      <c r="B227" s="0" t="inlineStr">
        <is>
          <t xml:space="preserve">Thu</t>
        </is>
      </c>
      <c r="C227" s="5">
        <v>0</v>
      </c>
      <c r="E227" s="2">
        <f>E226+D227</f>
        <v>28558.08</v>
      </c>
    </row>
    <row r="228">
      <c r="A228" s="0" t="inlineStr">
        <is>
          <t xml:space="preserve">2025-08-15</t>
        </is>
      </c>
      <c r="B228" s="0" t="inlineStr">
        <is>
          <t xml:space="preserve">Fri</t>
        </is>
      </c>
      <c r="C228" s="5">
        <v>0</v>
      </c>
      <c r="E228" s="2">
        <f>E227+D228</f>
        <v>28558.08</v>
      </c>
    </row>
    <row r="229">
      <c r="A229" s="0" t="inlineStr">
        <is>
          <t xml:space="preserve">2025-08-16</t>
        </is>
      </c>
      <c r="B229" s="0" t="inlineStr">
        <is>
          <t xml:space="preserve">Sat</t>
        </is>
      </c>
      <c r="C229" s="5">
        <v>0</v>
      </c>
      <c r="E229" s="2">
        <f>E228+D229</f>
        <v>28558.08</v>
      </c>
    </row>
    <row r="230">
      <c r="A230" s="0" t="inlineStr">
        <is>
          <t xml:space="preserve">2025-08-17</t>
        </is>
      </c>
      <c r="B230" s="0" t="inlineStr">
        <is>
          <t xml:space="preserve">Sun</t>
        </is>
      </c>
      <c r="C230" s="5">
        <v>0</v>
      </c>
      <c r="E230" s="2">
        <f>E229+D230</f>
        <v>28558.08</v>
      </c>
    </row>
    <row r="231">
      <c r="A231" s="0" t="inlineStr">
        <is>
          <t xml:space="preserve">2025-08-18</t>
        </is>
      </c>
      <c r="B231" s="0" t="inlineStr">
        <is>
          <t xml:space="preserve">Mon</t>
        </is>
      </c>
      <c r="C231" s="5">
        <v>0</v>
      </c>
      <c r="E231" s="2">
        <f>E230+D231</f>
        <v>28558.08</v>
      </c>
    </row>
    <row r="232">
      <c r="A232" s="0" t="inlineStr">
        <is>
          <t xml:space="preserve">2025-08-19</t>
        </is>
      </c>
      <c r="B232" s="0" t="inlineStr">
        <is>
          <t xml:space="preserve">Tue</t>
        </is>
      </c>
      <c r="C232" s="5">
        <v>0</v>
      </c>
      <c r="E232" s="2">
        <f>E231+D232</f>
        <v>28558.08</v>
      </c>
    </row>
    <row r="233">
      <c r="A233" s="0" t="inlineStr">
        <is>
          <t xml:space="preserve">2025-08-20</t>
        </is>
      </c>
      <c r="B233" s="0" t="inlineStr">
        <is>
          <t xml:space="preserve">Wed</t>
        </is>
      </c>
      <c r="C233" s="5">
        <v>0</v>
      </c>
      <c r="E233" s="2">
        <f>E232+D233</f>
        <v>28558.08</v>
      </c>
    </row>
    <row r="234">
      <c r="A234" s="0" t="inlineStr">
        <is>
          <t xml:space="preserve">2025-08-21</t>
        </is>
      </c>
      <c r="B234" s="0" t="inlineStr">
        <is>
          <t xml:space="preserve">Thu</t>
        </is>
      </c>
      <c r="C234" s="5">
        <v>0</v>
      </c>
      <c r="E234" s="2">
        <f>E233+D234</f>
        <v>28558.08</v>
      </c>
    </row>
    <row r="235">
      <c r="A235" s="0" t="inlineStr">
        <is>
          <t xml:space="preserve">2025-08-22</t>
        </is>
      </c>
      <c r="B235" s="0" t="inlineStr">
        <is>
          <t xml:space="preserve">Fri</t>
        </is>
      </c>
      <c r="C235" s="5">
        <v>1</v>
      </c>
      <c r="D235" s="2">
        <v>182.49</v>
      </c>
      <c r="E235" s="2">
        <f>E234+D235</f>
        <v>28740.57</v>
      </c>
    </row>
    <row r="236">
      <c r="A236" s="0" t="inlineStr">
        <is>
          <t xml:space="preserve">2025-08-23</t>
        </is>
      </c>
      <c r="B236" s="0" t="inlineStr">
        <is>
          <t xml:space="preserve">Sat</t>
        </is>
      </c>
      <c r="C236" s="5">
        <v>0</v>
      </c>
      <c r="E236" s="2">
        <f>E235+D236</f>
        <v>28740.57</v>
      </c>
    </row>
    <row r="237">
      <c r="A237" s="0" t="inlineStr">
        <is>
          <t xml:space="preserve">2025-08-24</t>
        </is>
      </c>
      <c r="B237" s="0" t="inlineStr">
        <is>
          <t xml:space="preserve">Sun</t>
        </is>
      </c>
      <c r="C237" s="5">
        <v>0</v>
      </c>
      <c r="E237" s="2">
        <f>E236+D237</f>
        <v>28740.57</v>
      </c>
    </row>
    <row r="238">
      <c r="A238" s="0" t="inlineStr">
        <is>
          <t xml:space="preserve">2025-08-25</t>
        </is>
      </c>
      <c r="B238" s="0" t="inlineStr">
        <is>
          <t xml:space="preserve">Mon</t>
        </is>
      </c>
      <c r="C238" s="5">
        <v>0</v>
      </c>
      <c r="E238" s="2">
        <f>E237+D238</f>
        <v>28740.57</v>
      </c>
    </row>
    <row r="239">
      <c r="A239" s="0" t="inlineStr">
        <is>
          <t xml:space="preserve">2025-08-26</t>
        </is>
      </c>
      <c r="B239" s="0" t="inlineStr">
        <is>
          <t xml:space="preserve">Tue</t>
        </is>
      </c>
      <c r="C239" s="5">
        <v>0</v>
      </c>
      <c r="E239" s="2">
        <f>E238+D239</f>
        <v>28740.57</v>
      </c>
    </row>
    <row r="240">
      <c r="A240" s="0" t="inlineStr">
        <is>
          <t xml:space="preserve">2025-08-27</t>
        </is>
      </c>
      <c r="B240" s="0" t="inlineStr">
        <is>
          <t xml:space="preserve">Wed</t>
        </is>
      </c>
      <c r="C240" s="5">
        <v>1</v>
      </c>
      <c r="D240" s="2">
        <v>1960.0</v>
      </c>
      <c r="E240" s="2">
        <f>E239+D240</f>
        <v>30700.57</v>
      </c>
    </row>
    <row r="241">
      <c r="A241" s="0" t="inlineStr">
        <is>
          <t xml:space="preserve">2025-08-28</t>
        </is>
      </c>
      <c r="B241" s="0" t="inlineStr">
        <is>
          <t xml:space="preserve">Thu</t>
        </is>
      </c>
      <c r="C241" s="5">
        <v>0</v>
      </c>
      <c r="E241" s="2">
        <f>E240+D241</f>
        <v>30700.57</v>
      </c>
    </row>
    <row r="242">
      <c r="A242" s="0" t="inlineStr">
        <is>
          <t xml:space="preserve">2025-08-29</t>
        </is>
      </c>
      <c r="B242" s="0" t="inlineStr">
        <is>
          <t xml:space="preserve">Fri</t>
        </is>
      </c>
      <c r="C242" s="5">
        <v>0</v>
      </c>
      <c r="E242" s="2">
        <f>E241+D242</f>
        <v>30700.57</v>
      </c>
    </row>
    <row r="243">
      <c r="A243" s="0" t="inlineStr">
        <is>
          <t xml:space="preserve">2025-08-30</t>
        </is>
      </c>
      <c r="B243" s="0" t="inlineStr">
        <is>
          <t xml:space="preserve">Sat</t>
        </is>
      </c>
      <c r="C243" s="5">
        <v>0</v>
      </c>
      <c r="E243" s="2">
        <f>E242+D243</f>
        <v>30700.57</v>
      </c>
    </row>
    <row r="244">
      <c r="A244" s="0" t="inlineStr">
        <is>
          <t xml:space="preserve">2025-08-31</t>
        </is>
      </c>
      <c r="B244" s="0" t="inlineStr">
        <is>
          <t xml:space="preserve">Sun</t>
        </is>
      </c>
      <c r="C244" s="5">
        <v>0</v>
      </c>
      <c r="E244" s="2">
        <f>E243+D244</f>
        <v>30700.57</v>
      </c>
    </row>
    <row r="245">
      <c r="A245" s="0" t="inlineStr">
        <is>
          <t xml:space="preserve">2025-09-01</t>
        </is>
      </c>
      <c r="B245" s="0" t="inlineStr">
        <is>
          <t xml:space="preserve">Mon</t>
        </is>
      </c>
      <c r="C245" s="5">
        <v>0</v>
      </c>
      <c r="E245" s="2">
        <f>E244+D245</f>
        <v>30700.57</v>
      </c>
    </row>
    <row r="246">
      <c r="A246" s="0" t="inlineStr">
        <is>
          <t xml:space="preserve">2025-09-02</t>
        </is>
      </c>
      <c r="B246" s="0" t="inlineStr">
        <is>
          <t xml:space="preserve">Tue</t>
        </is>
      </c>
      <c r="C246" s="5">
        <v>0</v>
      </c>
      <c r="E246" s="2">
        <f>E245+D246</f>
        <v>30700.57</v>
      </c>
    </row>
    <row r="247">
      <c r="A247" s="0" t="inlineStr">
        <is>
          <t xml:space="preserve">2025-09-03</t>
        </is>
      </c>
      <c r="B247" s="0" t="inlineStr">
        <is>
          <t xml:space="preserve">Wed</t>
        </is>
      </c>
      <c r="C247" s="5">
        <v>2</v>
      </c>
      <c r="D247" s="2">
        <v>-1139.96</v>
      </c>
      <c r="E247" s="2">
        <f>E246+D247</f>
        <v>29560.61</v>
      </c>
    </row>
    <row r="248">
      <c r="A248" s="0" t="inlineStr">
        <is>
          <t xml:space="preserve">2025-09-04</t>
        </is>
      </c>
      <c r="B248" s="0" t="inlineStr">
        <is>
          <t xml:space="preserve">Thu</t>
        </is>
      </c>
      <c r="C248" s="5">
        <v>0</v>
      </c>
      <c r="E248" s="2">
        <f>E247+D248</f>
        <v>29560.61</v>
      </c>
    </row>
    <row r="249">
      <c r="A249" s="0" t="inlineStr">
        <is>
          <t xml:space="preserve">2025-09-05</t>
        </is>
      </c>
      <c r="B249" s="0" t="inlineStr">
        <is>
          <t xml:space="preserve">Fri</t>
        </is>
      </c>
      <c r="C249" s="5">
        <v>0</v>
      </c>
      <c r="E249" s="2">
        <f>E248+D249</f>
        <v>29560.61</v>
      </c>
    </row>
    <row r="250">
      <c r="A250" s="0" t="inlineStr">
        <is>
          <t xml:space="preserve">2025-09-06</t>
        </is>
      </c>
      <c r="B250" s="0" t="inlineStr">
        <is>
          <t xml:space="preserve">Sat</t>
        </is>
      </c>
      <c r="C250" s="5">
        <v>0</v>
      </c>
      <c r="E250" s="2">
        <f>E249+D250</f>
        <v>29560.61</v>
      </c>
    </row>
    <row r="251">
      <c r="A251" s="0" t="inlineStr">
        <is>
          <t xml:space="preserve">2025-09-07</t>
        </is>
      </c>
      <c r="B251" s="0" t="inlineStr">
        <is>
          <t xml:space="preserve">Sun</t>
        </is>
      </c>
      <c r="C251" s="5">
        <v>0</v>
      </c>
      <c r="E251" s="2">
        <f>E250+D251</f>
        <v>29560.61</v>
      </c>
    </row>
    <row r="252">
      <c r="A252" s="0" t="inlineStr">
        <is>
          <t xml:space="preserve">2025-09-08</t>
        </is>
      </c>
      <c r="B252" s="0" t="inlineStr">
        <is>
          <t xml:space="preserve">Mon</t>
        </is>
      </c>
      <c r="C252" s="5">
        <v>0</v>
      </c>
      <c r="E252" s="2">
        <f>E251+D252</f>
        <v>29560.61</v>
      </c>
    </row>
    <row r="253">
      <c r="A253" s="0" t="inlineStr">
        <is>
          <t xml:space="preserve">2025-09-09</t>
        </is>
      </c>
      <c r="B253" s="0" t="inlineStr">
        <is>
          <t xml:space="preserve">Tue</t>
        </is>
      </c>
      <c r="C253" s="5">
        <v>0</v>
      </c>
      <c r="E253" s="2">
        <f>E252+D253</f>
        <v>29560.61</v>
      </c>
    </row>
    <row r="254">
      <c r="A254" s="0" t="inlineStr">
        <is>
          <t xml:space="preserve">2025-09-10</t>
        </is>
      </c>
      <c r="B254" s="0" t="inlineStr">
        <is>
          <t xml:space="preserve">Wed</t>
        </is>
      </c>
      <c r="C254" s="5">
        <v>1</v>
      </c>
      <c r="D254" s="2">
        <v>2335.0</v>
      </c>
      <c r="E254" s="2">
        <f>E253+D254</f>
        <v>31895.61</v>
      </c>
    </row>
    <row r="255">
      <c r="A255" s="0" t="inlineStr">
        <is>
          <t xml:space="preserve">2025-09-11</t>
        </is>
      </c>
      <c r="B255" s="0" t="inlineStr">
        <is>
          <t xml:space="preserve">Thu</t>
        </is>
      </c>
      <c r="C255" s="5">
        <v>0</v>
      </c>
      <c r="E255" s="2">
        <f>E254+D255</f>
        <v>31895.61</v>
      </c>
    </row>
    <row r="256">
      <c r="A256" s="0" t="inlineStr">
        <is>
          <t xml:space="preserve">2025-09-12</t>
        </is>
      </c>
      <c r="B256" s="0" t="inlineStr">
        <is>
          <t xml:space="preserve">Fri</t>
        </is>
      </c>
      <c r="C256" s="5">
        <v>0</v>
      </c>
      <c r="E256" s="2">
        <f>E255+D256</f>
        <v>31895.61</v>
      </c>
    </row>
    <row r="257">
      <c r="A257" s="0" t="inlineStr">
        <is>
          <t xml:space="preserve">2025-09-13</t>
        </is>
      </c>
      <c r="B257" s="0" t="inlineStr">
        <is>
          <t xml:space="preserve">Sat</t>
        </is>
      </c>
      <c r="C257" s="5">
        <v>0</v>
      </c>
      <c r="E257" s="2">
        <f>E256+D257</f>
        <v>31895.61</v>
      </c>
    </row>
    <row r="258">
      <c r="A258" s="0" t="inlineStr">
        <is>
          <t xml:space="preserve">2025-09-14</t>
        </is>
      </c>
      <c r="B258" s="0" t="inlineStr">
        <is>
          <t xml:space="preserve">Sun</t>
        </is>
      </c>
      <c r="C258" s="5">
        <v>0</v>
      </c>
      <c r="E258" s="2">
        <f>E257+D258</f>
        <v>31895.61</v>
      </c>
    </row>
    <row r="259">
      <c r="A259" s="0" t="inlineStr">
        <is>
          <t xml:space="preserve">2025-09-15</t>
        </is>
      </c>
      <c r="B259" s="0" t="inlineStr">
        <is>
          <t xml:space="preserve">Mon</t>
        </is>
      </c>
      <c r="C259" s="5">
        <v>0</v>
      </c>
      <c r="E259" s="2">
        <f>E258+D259</f>
        <v>31895.61</v>
      </c>
    </row>
    <row r="260">
      <c r="A260" s="0" t="inlineStr">
        <is>
          <t xml:space="preserve">2025-09-16</t>
        </is>
      </c>
      <c r="B260" s="0" t="inlineStr">
        <is>
          <t xml:space="preserve">Tue</t>
        </is>
      </c>
      <c r="C260" s="5">
        <v>0</v>
      </c>
      <c r="E260" s="2">
        <f>E259+D260</f>
        <v>31895.61</v>
      </c>
    </row>
    <row r="261">
      <c r="A261" s="0" t="inlineStr">
        <is>
          <t xml:space="preserve">2025-09-17</t>
        </is>
      </c>
      <c r="B261" s="0" t="inlineStr">
        <is>
          <t xml:space="preserve">Wed</t>
        </is>
      </c>
      <c r="C261" s="5">
        <v>1</v>
      </c>
      <c r="D261" s="2">
        <v>2215.0</v>
      </c>
      <c r="E261" s="2">
        <f>E260+D261</f>
        <v>34110.61</v>
      </c>
    </row>
    <row r="262">
      <c r="A262" s="0" t="inlineStr">
        <is>
          <t xml:space="preserve">2025-09-18</t>
        </is>
      </c>
      <c r="B262" s="0" t="inlineStr">
        <is>
          <t xml:space="preserve">Thu</t>
        </is>
      </c>
      <c r="C262" s="5">
        <v>0</v>
      </c>
      <c r="E262" s="2">
        <f>E261+D262</f>
        <v>34110.61</v>
      </c>
    </row>
    <row r="263">
      <c r="A263" s="0" t="inlineStr">
        <is>
          <t xml:space="preserve">2025-09-19</t>
        </is>
      </c>
      <c r="B263" s="0" t="inlineStr">
        <is>
          <t xml:space="preserve">Fri</t>
        </is>
      </c>
      <c r="C263" s="5">
        <v>0</v>
      </c>
      <c r="E263" s="2">
        <f>E262+D263</f>
        <v>34110.61</v>
      </c>
    </row>
    <row r="264">
      <c r="A264" s="0" t="inlineStr">
        <is>
          <t xml:space="preserve">2025-09-20</t>
        </is>
      </c>
      <c r="B264" s="0" t="inlineStr">
        <is>
          <t xml:space="preserve">Sat</t>
        </is>
      </c>
      <c r="C264" s="5">
        <v>0</v>
      </c>
      <c r="E264" s="2">
        <f>E263+D264</f>
        <v>34110.61</v>
      </c>
    </row>
    <row r="265">
      <c r="A265" s="0" t="inlineStr">
        <is>
          <t xml:space="preserve">2025-09-21</t>
        </is>
      </c>
      <c r="B265" s="0" t="inlineStr">
        <is>
          <t xml:space="preserve">Sun</t>
        </is>
      </c>
      <c r="C265" s="5">
        <v>0</v>
      </c>
      <c r="E265" s="2">
        <f>E264+D265</f>
        <v>34110.61</v>
      </c>
    </row>
    <row r="266">
      <c r="A266" s="0" t="inlineStr">
        <is>
          <t xml:space="preserve">2025-09-22</t>
        </is>
      </c>
      <c r="B266" s="0" t="inlineStr">
        <is>
          <t xml:space="preserve">Mon</t>
        </is>
      </c>
      <c r="C266" s="5">
        <v>1</v>
      </c>
      <c r="D266" s="2">
        <v>138.02</v>
      </c>
      <c r="E266" s="2">
        <f>E265+D266</f>
        <v>34248.63</v>
      </c>
    </row>
    <row r="267">
      <c r="A267" s="0" t="inlineStr">
        <is>
          <t xml:space="preserve">2025-09-23</t>
        </is>
      </c>
      <c r="B267" s="0" t="inlineStr">
        <is>
          <t xml:space="preserve">Tue</t>
        </is>
      </c>
      <c r="C267" s="5">
        <v>0</v>
      </c>
      <c r="E267" s="2">
        <f>E266+D267</f>
        <v>34248.63</v>
      </c>
    </row>
    <row r="268">
      <c r="A268" s="0" t="inlineStr">
        <is>
          <t xml:space="preserve">2025-09-24</t>
        </is>
      </c>
      <c r="B268" s="0" t="inlineStr">
        <is>
          <t xml:space="preserve">Wed</t>
        </is>
      </c>
      <c r="C268" s="5">
        <v>0</v>
      </c>
      <c r="E268" s="2">
        <f>E267+D268</f>
        <v>34248.63</v>
      </c>
    </row>
    <row r="269">
      <c r="A269" s="0" t="inlineStr">
        <is>
          <t xml:space="preserve">2025-09-25</t>
        </is>
      </c>
      <c r="B269" s="0" t="inlineStr">
        <is>
          <t xml:space="preserve">Thu</t>
        </is>
      </c>
      <c r="C269" s="5">
        <v>0</v>
      </c>
      <c r="E269" s="2">
        <f>E268+D269</f>
        <v>34248.63</v>
      </c>
    </row>
    <row r="270">
      <c r="A270" s="0" t="inlineStr">
        <is>
          <t xml:space="preserve">2025-09-26</t>
        </is>
      </c>
      <c r="B270" s="0" t="inlineStr">
        <is>
          <t xml:space="preserve">Fri</t>
        </is>
      </c>
      <c r="C270" s="5">
        <v>0</v>
      </c>
      <c r="E270" s="2">
        <f>E269+D270</f>
        <v>34248.63</v>
      </c>
    </row>
    <row r="271">
      <c r="A271" s="0" t="inlineStr">
        <is>
          <t xml:space="preserve">2025-09-27</t>
        </is>
      </c>
      <c r="B271" s="0" t="inlineStr">
        <is>
          <t xml:space="preserve">Sat</t>
        </is>
      </c>
      <c r="C271" s="5">
        <v>0</v>
      </c>
      <c r="E271" s="2">
        <f>E270+D271</f>
        <v>34248.63</v>
      </c>
    </row>
    <row r="272">
      <c r="A272" s="0" t="inlineStr">
        <is>
          <t xml:space="preserve">2025-09-28</t>
        </is>
      </c>
      <c r="B272" s="0" t="inlineStr">
        <is>
          <t xml:space="preserve">Sun</t>
        </is>
      </c>
      <c r="C272" s="5">
        <v>0</v>
      </c>
      <c r="E272" s="2">
        <f>E271+D272</f>
        <v>34248.63</v>
      </c>
    </row>
    <row r="273">
      <c r="A273" s="0" t="inlineStr">
        <is>
          <t xml:space="preserve">2025-09-29</t>
        </is>
      </c>
      <c r="B273" s="0" t="inlineStr">
        <is>
          <t xml:space="preserve">Mon</t>
        </is>
      </c>
      <c r="C273" s="5">
        <v>0</v>
      </c>
      <c r="E273" s="2">
        <f>E272+D273</f>
        <v>34248.63</v>
      </c>
    </row>
    <row r="274">
      <c r="A274" s="0" t="inlineStr">
        <is>
          <t xml:space="preserve">2025-09-30</t>
        </is>
      </c>
      <c r="B274" s="0" t="inlineStr">
        <is>
          <t xml:space="preserve">Tue</t>
        </is>
      </c>
      <c r="C274" s="5">
        <v>0</v>
      </c>
      <c r="E274" s="2">
        <f>E273+D274</f>
        <v>34248.63</v>
      </c>
    </row>
    <row r="275">
      <c r="A275" s="0" t="inlineStr">
        <is>
          <t xml:space="preserve">2025-10-01</t>
        </is>
      </c>
      <c r="B275" s="0" t="inlineStr">
        <is>
          <t xml:space="preserve">Wed</t>
        </is>
      </c>
      <c r="C275" s="5">
        <v>0</v>
      </c>
      <c r="E275" s="2">
        <f>E274+D275</f>
        <v>34248.63</v>
      </c>
    </row>
    <row r="276">
      <c r="A276" s="0" t="inlineStr">
        <is>
          <t xml:space="preserve">2025-10-02</t>
        </is>
      </c>
      <c r="B276" s="0" t="inlineStr">
        <is>
          <t xml:space="preserve">Thu</t>
        </is>
      </c>
      <c r="C276" s="5">
        <v>0</v>
      </c>
      <c r="E276" s="2">
        <f>E275+D276</f>
        <v>34248.63</v>
      </c>
    </row>
    <row r="277">
      <c r="A277" s="0" t="inlineStr">
        <is>
          <t xml:space="preserve">2025-10-03</t>
        </is>
      </c>
      <c r="B277" s="0" t="inlineStr">
        <is>
          <t xml:space="preserve">Fri</t>
        </is>
      </c>
      <c r="C277" s="5">
        <v>1</v>
      </c>
      <c r="D277" s="2">
        <v>-3774.6</v>
      </c>
      <c r="E277" s="2">
        <f>E276+D277</f>
        <v>30474.03</v>
      </c>
    </row>
    <row r="278">
      <c r="A278" s="0" t="inlineStr">
        <is>
          <t xml:space="preserve">2025-10-04</t>
        </is>
      </c>
      <c r="B278" s="0" t="inlineStr">
        <is>
          <t xml:space="preserve">Sat</t>
        </is>
      </c>
      <c r="C278" s="5">
        <v>0</v>
      </c>
      <c r="E278" s="2">
        <f>E277+D278</f>
        <v>30474.03</v>
      </c>
    </row>
    <row r="279">
      <c r="A279" s="0" t="inlineStr">
        <is>
          <t xml:space="preserve">2025-10-05</t>
        </is>
      </c>
      <c r="B279" s="0" t="inlineStr">
        <is>
          <t xml:space="preserve">Sun</t>
        </is>
      </c>
      <c r="C279" s="5">
        <v>0</v>
      </c>
      <c r="E279" s="2">
        <f>E278+D279</f>
        <v>30474.03</v>
      </c>
    </row>
    <row r="280">
      <c r="A280" s="0" t="inlineStr">
        <is>
          <t xml:space="preserve">2025-10-06</t>
        </is>
      </c>
      <c r="B280" s="0" t="inlineStr">
        <is>
          <t xml:space="preserve">Mon</t>
        </is>
      </c>
      <c r="C280" s="5">
        <v>0</v>
      </c>
      <c r="E280" s="2">
        <f>E279+D280</f>
        <v>30474.03</v>
      </c>
    </row>
    <row r="281">
      <c r="A281" s="0" t="inlineStr">
        <is>
          <t xml:space="preserve">2025-10-07</t>
        </is>
      </c>
      <c r="B281" s="0" t="inlineStr">
        <is>
          <t xml:space="preserve">Tue</t>
        </is>
      </c>
      <c r="C281" s="5">
        <v>0</v>
      </c>
      <c r="E281" s="2">
        <f>E280+D281</f>
        <v>30474.03</v>
      </c>
    </row>
    <row r="282">
      <c r="A282" s="0" t="inlineStr">
        <is>
          <t xml:space="preserve">2025-10-08</t>
        </is>
      </c>
      <c r="B282" s="0" t="inlineStr">
        <is>
          <t xml:space="preserve">Wed</t>
        </is>
      </c>
      <c r="C282" s="5">
        <v>0</v>
      </c>
      <c r="E282" s="2">
        <f>E281+D282</f>
        <v>30474.03</v>
      </c>
    </row>
    <row r="283">
      <c r="A283" s="0" t="inlineStr">
        <is>
          <t xml:space="preserve">2025-10-09</t>
        </is>
      </c>
      <c r="B283" s="0" t="inlineStr">
        <is>
          <t xml:space="preserve">Thu</t>
        </is>
      </c>
      <c r="C283" s="5">
        <v>0</v>
      </c>
      <c r="E283" s="2">
        <f>E282+D283</f>
        <v>30474.03</v>
      </c>
    </row>
    <row r="284">
      <c r="A284" s="0" t="inlineStr">
        <is>
          <t xml:space="preserve">2025-10-10</t>
        </is>
      </c>
      <c r="B284" s="0" t="inlineStr">
        <is>
          <t xml:space="preserve">Fri</t>
        </is>
      </c>
      <c r="C284" s="5">
        <v>0</v>
      </c>
      <c r="E284" s="2">
        <f>E283+D284</f>
        <v>30474.03</v>
      </c>
    </row>
    <row r="285">
      <c r="A285" s="0" t="inlineStr">
        <is>
          <t xml:space="preserve">2025-10-11</t>
        </is>
      </c>
      <c r="B285" s="0" t="inlineStr">
        <is>
          <t xml:space="preserve">Sat</t>
        </is>
      </c>
      <c r="C285" s="5">
        <v>0</v>
      </c>
      <c r="E285" s="2">
        <f>E284+D285</f>
        <v>30474.03</v>
      </c>
    </row>
    <row r="286">
      <c r="A286" s="0" t="inlineStr">
        <is>
          <t xml:space="preserve">2025-10-12</t>
        </is>
      </c>
      <c r="B286" s="0" t="inlineStr">
        <is>
          <t xml:space="preserve">Sun</t>
        </is>
      </c>
      <c r="C286" s="5">
        <v>0</v>
      </c>
      <c r="E286" s="2">
        <f>E285+D286</f>
        <v>30474.03</v>
      </c>
    </row>
    <row r="287">
      <c r="A287" s="0" t="inlineStr">
        <is>
          <t xml:space="preserve">2025-10-13</t>
        </is>
      </c>
      <c r="B287" s="0" t="inlineStr">
        <is>
          <t xml:space="preserve">Mon</t>
        </is>
      </c>
      <c r="C287" s="5">
        <v>0</v>
      </c>
      <c r="E287" s="2">
        <f>E286+D287</f>
        <v>30474.03</v>
      </c>
    </row>
    <row r="288">
      <c r="A288" s="0" t="inlineStr">
        <is>
          <t xml:space="preserve">2025-10-14</t>
        </is>
      </c>
      <c r="B288" s="0" t="inlineStr">
        <is>
          <t xml:space="preserve">Tue</t>
        </is>
      </c>
      <c r="C288" s="5">
        <v>0</v>
      </c>
      <c r="E288" s="2">
        <f>E287+D288</f>
        <v>30474.03</v>
      </c>
    </row>
    <row r="289">
      <c r="A289" s="0" t="inlineStr">
        <is>
          <t xml:space="preserve">2025-10-15</t>
        </is>
      </c>
      <c r="B289" s="0" t="inlineStr">
        <is>
          <t xml:space="preserve">Wed</t>
        </is>
      </c>
      <c r="C289" s="5">
        <v>0</v>
      </c>
      <c r="E289" s="2">
        <f>E288+D289</f>
        <v>30474.03</v>
      </c>
    </row>
    <row r="290">
      <c r="A290" s="0" t="inlineStr">
        <is>
          <t xml:space="preserve">2025-10-16</t>
        </is>
      </c>
      <c r="B290" s="0" t="inlineStr">
        <is>
          <t xml:space="preserve">Thu</t>
        </is>
      </c>
      <c r="C290" s="5">
        <v>0</v>
      </c>
      <c r="E290" s="2">
        <f>E289+D290</f>
        <v>30474.03</v>
      </c>
    </row>
    <row r="291">
      <c r="A291" s="0" t="inlineStr">
        <is>
          <t xml:space="preserve">2025-10-17</t>
        </is>
      </c>
      <c r="B291" s="0" t="inlineStr">
        <is>
          <t xml:space="preserve">Fri</t>
        </is>
      </c>
      <c r="C291" s="5">
        <v>0</v>
      </c>
      <c r="E291" s="2">
        <f>E290+D291</f>
        <v>30474.03</v>
      </c>
    </row>
    <row r="292">
      <c r="A292" s="0" t="inlineStr">
        <is>
          <t xml:space="preserve">2025-10-18</t>
        </is>
      </c>
      <c r="B292" s="0" t="inlineStr">
        <is>
          <t xml:space="preserve">Sat</t>
        </is>
      </c>
      <c r="C292" s="5">
        <v>0</v>
      </c>
      <c r="E292" s="2">
        <f>E291+D292</f>
        <v>30474.03</v>
      </c>
    </row>
    <row r="293">
      <c r="A293" s="0" t="inlineStr">
        <is>
          <t xml:space="preserve">2025-10-19</t>
        </is>
      </c>
      <c r="B293" s="0" t="inlineStr">
        <is>
          <t xml:space="preserve">Sun</t>
        </is>
      </c>
      <c r="C293" s="5">
        <v>0</v>
      </c>
      <c r="E293" s="2">
        <f>E292+D293</f>
        <v>30474.03</v>
      </c>
    </row>
    <row r="294">
      <c r="A294" s="0" t="inlineStr">
        <is>
          <t xml:space="preserve">2025-10-20</t>
        </is>
      </c>
      <c r="B294" s="0" t="inlineStr">
        <is>
          <t xml:space="preserve">Mon</t>
        </is>
      </c>
      <c r="C294" s="5">
        <v>0</v>
      </c>
      <c r="E294" s="2">
        <f>E293+D294</f>
        <v>30474.03</v>
      </c>
    </row>
    <row r="295">
      <c r="A295" s="0" t="inlineStr">
        <is>
          <t xml:space="preserve">2025-10-21</t>
        </is>
      </c>
      <c r="B295" s="0" t="inlineStr">
        <is>
          <t xml:space="preserve">Tue</t>
        </is>
      </c>
      <c r="C295" s="5">
        <v>1</v>
      </c>
      <c r="D295" s="2">
        <v>141.39</v>
      </c>
      <c r="E295" s="2">
        <f>E294+D295</f>
        <v>30615.42</v>
      </c>
    </row>
    <row r="296">
      <c r="A296" s="0" t="inlineStr">
        <is>
          <t xml:space="preserve">2025-10-22</t>
        </is>
      </c>
      <c r="B296" s="0" t="inlineStr">
        <is>
          <t xml:space="preserve">Wed</t>
        </is>
      </c>
      <c r="C296" s="5">
        <v>0</v>
      </c>
      <c r="E296" s="2">
        <f>E295+D296</f>
        <v>30615.42</v>
      </c>
    </row>
    <row r="297">
      <c r="A297" s="0" t="inlineStr">
        <is>
          <t xml:space="preserve">2025-10-23</t>
        </is>
      </c>
      <c r="B297" s="0" t="inlineStr">
        <is>
          <t xml:space="preserve">Thu</t>
        </is>
      </c>
      <c r="C297" s="5">
        <v>0</v>
      </c>
      <c r="E297" s="2">
        <f>E296+D297</f>
        <v>30615.42</v>
      </c>
    </row>
    <row r="298">
      <c r="A298" s="0" t="inlineStr">
        <is>
          <t xml:space="preserve">2025-10-24</t>
        </is>
      </c>
      <c r="B298" s="0" t="inlineStr">
        <is>
          <t xml:space="preserve">Fri</t>
        </is>
      </c>
      <c r="C298" s="5">
        <v>0</v>
      </c>
      <c r="E298" s="2">
        <f>E297+D298</f>
        <v>30615.42</v>
      </c>
    </row>
    <row r="299">
      <c r="A299" s="0" t="inlineStr">
        <is>
          <t xml:space="preserve">2025-10-25</t>
        </is>
      </c>
      <c r="B299" s="0" t="inlineStr">
        <is>
          <t xml:space="preserve">Sat</t>
        </is>
      </c>
      <c r="C299" s="5">
        <v>0</v>
      </c>
      <c r="E299" s="2">
        <f>E298+D299</f>
        <v>30615.42</v>
      </c>
    </row>
    <row r="300">
      <c r="A300" s="0" t="inlineStr">
        <is>
          <t xml:space="preserve">2025-10-26</t>
        </is>
      </c>
      <c r="B300" s="0" t="inlineStr">
        <is>
          <t xml:space="preserve">Sun</t>
        </is>
      </c>
      <c r="C300" s="5">
        <v>0</v>
      </c>
      <c r="E300" s="2">
        <f>E299+D300</f>
        <v>30615.42</v>
      </c>
    </row>
    <row r="301">
      <c r="A301" s="0" t="inlineStr">
        <is>
          <t xml:space="preserve">2025-10-27</t>
        </is>
      </c>
      <c r="B301" s="0" t="inlineStr">
        <is>
          <t xml:space="preserve">Mon</t>
        </is>
      </c>
      <c r="C301" s="5">
        <v>0</v>
      </c>
      <c r="E301" s="2">
        <f>E300+D301</f>
        <v>30615.42</v>
      </c>
    </row>
    <row r="302">
      <c r="A302" s="0" t="inlineStr">
        <is>
          <t xml:space="preserve">2025-10-28</t>
        </is>
      </c>
      <c r="B302" s="0" t="inlineStr">
        <is>
          <t xml:space="preserve">Tue</t>
        </is>
      </c>
      <c r="C302" s="5">
        <v>0</v>
      </c>
      <c r="E302" s="2">
        <f>E301+D302</f>
        <v>30615.42</v>
      </c>
    </row>
    <row r="303">
      <c r="A303" s="0" t="inlineStr">
        <is>
          <t xml:space="preserve">2025-10-29</t>
        </is>
      </c>
      <c r="B303" s="0" t="inlineStr">
        <is>
          <t xml:space="preserve">Wed</t>
        </is>
      </c>
      <c r="C303" s="5">
        <v>0</v>
      </c>
      <c r="E303" s="2">
        <f>E302+D303</f>
        <v>30615.42</v>
      </c>
    </row>
    <row r="304">
      <c r="A304" s="0" t="inlineStr">
        <is>
          <t xml:space="preserve">2025-10-30</t>
        </is>
      </c>
      <c r="B304" s="0" t="inlineStr">
        <is>
          <t xml:space="preserve">Thu</t>
        </is>
      </c>
      <c r="C304" s="5">
        <v>0</v>
      </c>
      <c r="E304" s="2">
        <f>E303+D304</f>
        <v>30615.42</v>
      </c>
    </row>
    <row r="305">
      <c r="A305" s="0" t="inlineStr">
        <is>
          <t xml:space="preserve">2025-10-31</t>
        </is>
      </c>
      <c r="B305" s="0" t="inlineStr">
        <is>
          <t xml:space="preserve">Fri</t>
        </is>
      </c>
      <c r="C305" s="5">
        <v>0</v>
      </c>
      <c r="E305" s="2">
        <f>E304+D305</f>
        <v>30615.42</v>
      </c>
    </row>
    <row r="306">
      <c r="A306" s="0" t="inlineStr">
        <is>
          <t xml:space="preserve">2025-11-01</t>
        </is>
      </c>
      <c r="B306" s="0" t="inlineStr">
        <is>
          <t xml:space="preserve">Sat</t>
        </is>
      </c>
      <c r="C306" s="5">
        <v>0</v>
      </c>
      <c r="E306" s="2">
        <f>E305+D306</f>
        <v>30615.42</v>
      </c>
    </row>
    <row r="307">
      <c r="A307" s="0" t="inlineStr">
        <is>
          <t xml:space="preserve">2025-11-02</t>
        </is>
      </c>
      <c r="B307" s="0" t="inlineStr">
        <is>
          <t xml:space="preserve">Sun</t>
        </is>
      </c>
      <c r="C307" s="5">
        <v>0</v>
      </c>
      <c r="E307" s="2">
        <f>E306+D307</f>
        <v>30615.42</v>
      </c>
    </row>
    <row r="308">
      <c r="A308" s="0" t="inlineStr">
        <is>
          <t xml:space="preserve">2025-11-03</t>
        </is>
      </c>
      <c r="B308" s="0" t="inlineStr">
        <is>
          <t xml:space="preserve">Mon</t>
        </is>
      </c>
      <c r="C308" s="5">
        <v>0</v>
      </c>
      <c r="E308" s="2">
        <f>E307+D308</f>
        <v>30615.42</v>
      </c>
    </row>
    <row r="309">
      <c r="A309" s="0" t="inlineStr">
        <is>
          <t xml:space="preserve">2025-11-04</t>
        </is>
      </c>
      <c r="B309" s="0" t="inlineStr">
        <is>
          <t xml:space="preserve">Tue</t>
        </is>
      </c>
      <c r="C309" s="5">
        <v>0</v>
      </c>
      <c r="E309" s="2">
        <f>E308+D309</f>
        <v>30615.42</v>
      </c>
    </row>
    <row r="310">
      <c r="A310" s="0" t="inlineStr">
        <is>
          <t xml:space="preserve">2025-11-05</t>
        </is>
      </c>
      <c r="B310" s="0" t="inlineStr">
        <is>
          <t xml:space="preserve">Wed</t>
        </is>
      </c>
      <c r="C310" s="5">
        <v>0</v>
      </c>
      <c r="E310" s="2">
        <f>E309+D310</f>
        <v>30615.42</v>
      </c>
    </row>
    <row r="311">
      <c r="A311" s="0" t="inlineStr">
        <is>
          <t xml:space="preserve">2025-11-06</t>
        </is>
      </c>
      <c r="B311" s="0" t="inlineStr">
        <is>
          <t xml:space="preserve">Thu</t>
        </is>
      </c>
      <c r="C311" s="5">
        <v>0</v>
      </c>
      <c r="E311" s="2">
        <f>E310+D311</f>
        <v>30615.42</v>
      </c>
    </row>
    <row r="312">
      <c r="A312" s="0" t="inlineStr">
        <is>
          <t xml:space="preserve">2025-11-07</t>
        </is>
      </c>
      <c r="B312" s="0" t="inlineStr">
        <is>
          <t xml:space="preserve">Fri</t>
        </is>
      </c>
      <c r="C312" s="5">
        <v>0</v>
      </c>
      <c r="E312" s="2">
        <f>E311+D312</f>
        <v>30615.42</v>
      </c>
    </row>
    <row r="313">
      <c r="A313" s="0" t="inlineStr">
        <is>
          <t xml:space="preserve">2025-11-08</t>
        </is>
      </c>
      <c r="B313" s="0" t="inlineStr">
        <is>
          <t xml:space="preserve">Sat</t>
        </is>
      </c>
      <c r="C313" s="5">
        <v>0</v>
      </c>
      <c r="E313" s="2">
        <f>E312+D313</f>
        <v>30615.42</v>
      </c>
    </row>
    <row r="314">
      <c r="A314" s="0" t="inlineStr">
        <is>
          <t xml:space="preserve">2025-11-09</t>
        </is>
      </c>
      <c r="B314" s="0" t="inlineStr">
        <is>
          <t xml:space="preserve">Sun</t>
        </is>
      </c>
      <c r="C314" s="5">
        <v>0</v>
      </c>
      <c r="E314" s="2">
        <f>E313+D314</f>
        <v>30615.42</v>
      </c>
    </row>
    <row r="315">
      <c r="A315" s="0" t="inlineStr">
        <is>
          <t xml:space="preserve">2025-11-10</t>
        </is>
      </c>
      <c r="B315" s="0" t="inlineStr">
        <is>
          <t xml:space="preserve">Mon</t>
        </is>
      </c>
      <c r="C315" s="5">
        <v>0</v>
      </c>
      <c r="E315" s="2">
        <f>E314+D315</f>
        <v>30615.42</v>
      </c>
    </row>
    <row r="316">
      <c r="A316" s="0" t="inlineStr">
        <is>
          <t xml:space="preserve">2025-11-11</t>
        </is>
      </c>
      <c r="B316" s="0" t="inlineStr">
        <is>
          <t xml:space="preserve">Tue</t>
        </is>
      </c>
      <c r="C316" s="5">
        <v>0</v>
      </c>
      <c r="E316" s="2">
        <f>E315+D316</f>
        <v>30615.42</v>
      </c>
    </row>
    <row r="317">
      <c r="A317" s="0" t="inlineStr">
        <is>
          <t xml:space="preserve">2025-11-12</t>
        </is>
      </c>
      <c r="B317" s="0" t="inlineStr">
        <is>
          <t xml:space="preserve">Wed</t>
        </is>
      </c>
      <c r="C317" s="5">
        <v>2</v>
      </c>
      <c r="D317" s="2">
        <v>-79.69</v>
      </c>
      <c r="E317" s="2">
        <f>E316+D317</f>
        <v>30535.73</v>
      </c>
    </row>
    <row r="318">
      <c r="A318" s="0" t="inlineStr">
        <is>
          <t xml:space="preserve">2025-11-13</t>
        </is>
      </c>
      <c r="B318" s="0" t="inlineStr">
        <is>
          <t xml:space="preserve">Thu</t>
        </is>
      </c>
      <c r="C318" s="5">
        <v>0</v>
      </c>
      <c r="E318" s="2">
        <f>E317+D318</f>
        <v>30535.73</v>
      </c>
    </row>
    <row r="319">
      <c r="A319" s="0" t="inlineStr">
        <is>
          <t xml:space="preserve">2025-11-14</t>
        </is>
      </c>
      <c r="B319" s="0" t="inlineStr">
        <is>
          <t xml:space="preserve">Fri</t>
        </is>
      </c>
      <c r="C319" s="5">
        <v>0</v>
      </c>
      <c r="E319" s="2">
        <f>E318+D319</f>
        <v>30535.73</v>
      </c>
    </row>
    <row r="320">
      <c r="A320" s="0" t="inlineStr">
        <is>
          <t xml:space="preserve">2025-11-15</t>
        </is>
      </c>
      <c r="B320" s="0" t="inlineStr">
        <is>
          <t xml:space="preserve">Sat</t>
        </is>
      </c>
      <c r="C320" s="5">
        <v>0</v>
      </c>
      <c r="E320" s="2">
        <f>E319+D320</f>
        <v>30535.73</v>
      </c>
    </row>
    <row r="321">
      <c r="A321" s="0" t="inlineStr">
        <is>
          <t xml:space="preserve">2025-11-16</t>
        </is>
      </c>
      <c r="B321" s="0" t="inlineStr">
        <is>
          <t xml:space="preserve">Sun</t>
        </is>
      </c>
      <c r="C321" s="5">
        <v>0</v>
      </c>
      <c r="E321" s="2">
        <f>E320+D321</f>
        <v>30535.73</v>
      </c>
    </row>
    <row r="322">
      <c r="A322" s="0" t="inlineStr">
        <is>
          <t xml:space="preserve">2025-11-17</t>
        </is>
      </c>
      <c r="B322" s="0" t="inlineStr">
        <is>
          <t xml:space="preserve">Mon</t>
        </is>
      </c>
      <c r="C322" s="5">
        <v>0</v>
      </c>
      <c r="E322" s="2">
        <f>E321+D322</f>
        <v>30535.73</v>
      </c>
    </row>
    <row r="323">
      <c r="A323" s="0" t="inlineStr">
        <is>
          <t xml:space="preserve">2025-11-18</t>
        </is>
      </c>
      <c r="B323" s="0" t="inlineStr">
        <is>
          <t xml:space="preserve">Tue</t>
        </is>
      </c>
      <c r="C323" s="5">
        <v>0</v>
      </c>
      <c r="E323" s="2">
        <f>E322+D323</f>
        <v>30535.73</v>
      </c>
    </row>
    <row r="324">
      <c r="A324" s="0" t="inlineStr">
        <is>
          <t xml:space="preserve">2025-11-19</t>
        </is>
      </c>
      <c r="B324" s="0" t="inlineStr">
        <is>
          <t xml:space="preserve">Wed</t>
        </is>
      </c>
      <c r="C324" s="5">
        <v>0</v>
      </c>
      <c r="E324" s="2">
        <f>E323+D324</f>
        <v>30535.73</v>
      </c>
    </row>
    <row r="325">
      <c r="A325" s="0" t="inlineStr">
        <is>
          <t xml:space="preserve">2025-11-20</t>
        </is>
      </c>
      <c r="B325" s="0" t="inlineStr">
        <is>
          <t xml:space="preserve">Thu</t>
        </is>
      </c>
      <c r="C325" s="5">
        <v>0</v>
      </c>
      <c r="E325" s="2">
        <f>E324+D325</f>
        <v>30535.73</v>
      </c>
    </row>
    <row r="326">
      <c r="A326" s="0" t="inlineStr">
        <is>
          <t xml:space="preserve">2025-11-21</t>
        </is>
      </c>
      <c r="B326" s="0" t="inlineStr">
        <is>
          <t xml:space="preserve">Fri</t>
        </is>
      </c>
      <c r="C326" s="5">
        <v>1</v>
      </c>
      <c r="D326" s="2">
        <v>177.84</v>
      </c>
      <c r="E326" s="2">
        <f>E325+D326</f>
        <v>30713.57</v>
      </c>
    </row>
    <row r="327">
      <c r="A327" s="0" t="inlineStr">
        <is>
          <t xml:space="preserve">2025-11-22</t>
        </is>
      </c>
      <c r="B327" s="0" t="inlineStr">
        <is>
          <t xml:space="preserve">Sat</t>
        </is>
      </c>
      <c r="C327" s="5">
        <v>0</v>
      </c>
      <c r="E327" s="2">
        <f>E326+D327</f>
        <v>30713.57</v>
      </c>
    </row>
    <row r="328">
      <c r="A328" s="0" t="inlineStr">
        <is>
          <t xml:space="preserve">2025-11-23</t>
        </is>
      </c>
      <c r="B328" s="0" t="inlineStr">
        <is>
          <t xml:space="preserve">Sun</t>
        </is>
      </c>
      <c r="C328" s="5">
        <v>0</v>
      </c>
      <c r="E328" s="2">
        <f>E327+D328</f>
        <v>30713.57</v>
      </c>
    </row>
    <row r="329">
      <c r="A329" s="0" t="inlineStr">
        <is>
          <t xml:space="preserve">2025-11-24</t>
        </is>
      </c>
      <c r="B329" s="0" t="inlineStr">
        <is>
          <t xml:space="preserve">Mon</t>
        </is>
      </c>
      <c r="C329" s="5">
        <v>0</v>
      </c>
      <c r="E329" s="2">
        <f>E328+D329</f>
        <v>30713.57</v>
      </c>
    </row>
    <row r="330">
      <c r="A330" s="0" t="inlineStr">
        <is>
          <t xml:space="preserve">2025-11-25</t>
        </is>
      </c>
      <c r="B330" s="0" t="inlineStr">
        <is>
          <t xml:space="preserve">Tue</t>
        </is>
      </c>
      <c r="C330" s="5">
        <v>0</v>
      </c>
      <c r="E330" s="2">
        <f>E329+D330</f>
        <v>30713.57</v>
      </c>
    </row>
    <row r="331">
      <c r="A331" s="0" t="inlineStr">
        <is>
          <t xml:space="preserve">2025-11-26</t>
        </is>
      </c>
      <c r="B331" s="0" t="inlineStr">
        <is>
          <t xml:space="preserve">Wed</t>
        </is>
      </c>
      <c r="C331" s="5">
        <v>0</v>
      </c>
      <c r="E331" s="2">
        <f>E330+D331</f>
        <v>30713.57</v>
      </c>
    </row>
    <row r="332">
      <c r="A332" s="0" t="inlineStr">
        <is>
          <t xml:space="preserve">2025-11-27</t>
        </is>
      </c>
      <c r="B332" s="0" t="inlineStr">
        <is>
          <t xml:space="preserve">Thu</t>
        </is>
      </c>
      <c r="C332" s="5">
        <v>0</v>
      </c>
      <c r="E332" s="2">
        <f>E331+D332</f>
        <v>30713.57</v>
      </c>
    </row>
    <row r="333">
      <c r="A333" s="0" t="inlineStr">
        <is>
          <t xml:space="preserve">2025-11-28</t>
        </is>
      </c>
      <c r="B333" s="0" t="inlineStr">
        <is>
          <t xml:space="preserve">Fri</t>
        </is>
      </c>
      <c r="C333" s="5">
        <v>0</v>
      </c>
      <c r="E333" s="2">
        <f>E332+D333</f>
        <v>30713.57</v>
      </c>
    </row>
    <row r="334">
      <c r="A334" s="0" t="inlineStr">
        <is>
          <t xml:space="preserve">2025-11-29</t>
        </is>
      </c>
      <c r="B334" s="0" t="inlineStr">
        <is>
          <t xml:space="preserve">Sat</t>
        </is>
      </c>
      <c r="C334" s="5">
        <v>0</v>
      </c>
      <c r="E334" s="2">
        <f>E333+D334</f>
        <v>30713.57</v>
      </c>
    </row>
    <row r="335">
      <c r="A335" s="0" t="inlineStr">
        <is>
          <t xml:space="preserve">2025-11-30</t>
        </is>
      </c>
      <c r="B335" s="0" t="inlineStr">
        <is>
          <t xml:space="preserve">Sun</t>
        </is>
      </c>
      <c r="C335" s="5">
        <v>0</v>
      </c>
      <c r="E335" s="2">
        <f>E334+D335</f>
        <v>30713.57</v>
      </c>
    </row>
    <row r="336">
      <c r="A336" s="0" t="inlineStr">
        <is>
          <t xml:space="preserve">2025-12-01</t>
        </is>
      </c>
      <c r="B336" s="0" t="inlineStr">
        <is>
          <t xml:space="preserve">Mon</t>
        </is>
      </c>
      <c r="C336" s="5">
        <v>0</v>
      </c>
      <c r="E336" s="2">
        <f>E335+D336</f>
        <v>30713.57</v>
      </c>
    </row>
    <row r="337">
      <c r="A337" s="0" t="inlineStr">
        <is>
          <t xml:space="preserve">2025-12-02</t>
        </is>
      </c>
      <c r="B337" s="0" t="inlineStr">
        <is>
          <t xml:space="preserve">Tue</t>
        </is>
      </c>
      <c r="C337" s="5">
        <v>1</v>
      </c>
      <c r="D337" s="2">
        <v>-93.06</v>
      </c>
      <c r="E337" s="2">
        <f>E336+D337</f>
        <v>30620.51</v>
      </c>
    </row>
    <row r="338">
      <c r="A338" s="0" t="inlineStr">
        <is>
          <t xml:space="preserve">2025-12-03</t>
        </is>
      </c>
      <c r="B338" s="0" t="inlineStr">
        <is>
          <t xml:space="preserve">Wed</t>
        </is>
      </c>
      <c r="C338" s="5">
        <v>0</v>
      </c>
      <c r="E338" s="2">
        <f>E337+D338</f>
        <v>30620.51</v>
      </c>
    </row>
    <row r="339">
      <c r="A339" s="0" t="inlineStr">
        <is>
          <t xml:space="preserve">2025-12-04</t>
        </is>
      </c>
      <c r="B339" s="0" t="inlineStr">
        <is>
          <t xml:space="preserve">Thu</t>
        </is>
      </c>
      <c r="C339" s="5">
        <v>0</v>
      </c>
      <c r="E339" s="2">
        <f>E338+D339</f>
        <v>30620.51</v>
      </c>
    </row>
    <row r="340">
      <c r="A340" s="0" t="inlineStr">
        <is>
          <t xml:space="preserve">2025-12-05</t>
        </is>
      </c>
      <c r="B340" s="0" t="inlineStr">
        <is>
          <t xml:space="preserve">Fri</t>
        </is>
      </c>
      <c r="C340" s="5">
        <v>0</v>
      </c>
      <c r="E340" s="2">
        <f>E339+D340</f>
        <v>30620.51</v>
      </c>
    </row>
    <row r="341">
      <c r="A341" s="0" t="inlineStr">
        <is>
          <t xml:space="preserve">2025-12-06</t>
        </is>
      </c>
      <c r="B341" s="0" t="inlineStr">
        <is>
          <t xml:space="preserve">Sat</t>
        </is>
      </c>
      <c r="C341" s="5">
        <v>0</v>
      </c>
      <c r="E341" s="2">
        <f>E340+D341</f>
        <v>30620.51</v>
      </c>
    </row>
    <row r="342">
      <c r="A342" s="0" t="inlineStr">
        <is>
          <t xml:space="preserve">2025-12-07</t>
        </is>
      </c>
      <c r="B342" s="0" t="inlineStr">
        <is>
          <t xml:space="preserve">Sun</t>
        </is>
      </c>
      <c r="C342" s="5">
        <v>0</v>
      </c>
      <c r="E342" s="2">
        <f>E341+D342</f>
        <v>30620.51</v>
      </c>
    </row>
    <row r="343">
      <c r="A343" s="0" t="inlineStr">
        <is>
          <t xml:space="preserve">2025-12-08</t>
        </is>
      </c>
      <c r="B343" s="0" t="inlineStr">
        <is>
          <t xml:space="preserve">Mon</t>
        </is>
      </c>
      <c r="C343" s="5">
        <v>0</v>
      </c>
      <c r="E343" s="2">
        <f>E342+D343</f>
        <v>30620.51</v>
      </c>
    </row>
    <row r="344">
      <c r="A344" s="0" t="inlineStr">
        <is>
          <t xml:space="preserve">2025-12-09</t>
        </is>
      </c>
      <c r="B344" s="0" t="inlineStr">
        <is>
          <t xml:space="preserve">Tue</t>
        </is>
      </c>
      <c r="C344" s="5">
        <v>0</v>
      </c>
      <c r="E344" s="2">
        <f>E343+D344</f>
        <v>30620.51</v>
      </c>
    </row>
    <row r="345">
      <c r="A345" s="0" t="inlineStr">
        <is>
          <t xml:space="preserve">2025-12-10</t>
        </is>
      </c>
      <c r="B345" s="0" t="inlineStr">
        <is>
          <t xml:space="preserve">Wed</t>
        </is>
      </c>
      <c r="C345" s="5">
        <v>0</v>
      </c>
      <c r="E345" s="2">
        <f>E344+D345</f>
        <v>30620.51</v>
      </c>
    </row>
    <row r="346">
      <c r="A346" s="0" t="inlineStr">
        <is>
          <t xml:space="preserve">2025-12-11</t>
        </is>
      </c>
      <c r="B346" s="0" t="inlineStr">
        <is>
          <t xml:space="preserve">Thu</t>
        </is>
      </c>
      <c r="C346" s="5">
        <v>0</v>
      </c>
      <c r="E346" s="2">
        <f>E345+D346</f>
        <v>30620.51</v>
      </c>
    </row>
    <row r="347">
      <c r="A347" s="0" t="inlineStr">
        <is>
          <t xml:space="preserve">2025-12-12</t>
        </is>
      </c>
      <c r="B347" s="0" t="inlineStr">
        <is>
          <t xml:space="preserve">Fri</t>
        </is>
      </c>
      <c r="C347" s="5">
        <v>0</v>
      </c>
      <c r="E347" s="2">
        <f>E346+D347</f>
        <v>30620.51</v>
      </c>
    </row>
    <row r="348">
      <c r="A348" s="0" t="inlineStr">
        <is>
          <t xml:space="preserve">2025-12-13</t>
        </is>
      </c>
      <c r="B348" s="0" t="inlineStr">
        <is>
          <t xml:space="preserve">Sat</t>
        </is>
      </c>
      <c r="C348" s="5">
        <v>0</v>
      </c>
      <c r="E348" s="2">
        <f>E347+D348</f>
        <v>30620.51</v>
      </c>
    </row>
    <row r="349">
      <c r="A349" s="0" t="inlineStr">
        <is>
          <t xml:space="preserve">2025-12-14</t>
        </is>
      </c>
      <c r="B349" s="0" t="inlineStr">
        <is>
          <t xml:space="preserve">Sun</t>
        </is>
      </c>
      <c r="C349" s="5">
        <v>0</v>
      </c>
      <c r="E349" s="2">
        <f>E348+D349</f>
        <v>30620.51</v>
      </c>
    </row>
    <row r="350">
      <c r="A350" s="0" t="inlineStr">
        <is>
          <t xml:space="preserve">2025-12-15</t>
        </is>
      </c>
      <c r="B350" s="0" t="inlineStr">
        <is>
          <t xml:space="preserve">Mon</t>
        </is>
      </c>
      <c r="C350" s="5">
        <v>0</v>
      </c>
      <c r="E350" s="2">
        <f>E349+D350</f>
        <v>30620.51</v>
      </c>
    </row>
    <row r="351">
      <c r="A351" s="0" t="inlineStr">
        <is>
          <t xml:space="preserve">2025-12-16</t>
        </is>
      </c>
      <c r="B351" s="0" t="inlineStr">
        <is>
          <t xml:space="preserve">Tue</t>
        </is>
      </c>
      <c r="C351" s="5">
        <v>0</v>
      </c>
      <c r="E351" s="2">
        <f>E350+D351</f>
        <v>30620.51</v>
      </c>
    </row>
    <row r="352">
      <c r="A352" s="0" t="inlineStr">
        <is>
          <t xml:space="preserve">2025-12-17</t>
        </is>
      </c>
      <c r="B352" s="0" t="inlineStr">
        <is>
          <t xml:space="preserve">Wed</t>
        </is>
      </c>
      <c r="C352" s="5">
        <v>0</v>
      </c>
      <c r="E352" s="2">
        <f>E351+D352</f>
        <v>30620.51</v>
      </c>
    </row>
    <row r="353">
      <c r="A353" s="0" t="inlineStr">
        <is>
          <t xml:space="preserve">2025-12-18</t>
        </is>
      </c>
      <c r="B353" s="0" t="inlineStr">
        <is>
          <t xml:space="preserve">Thu</t>
        </is>
      </c>
      <c r="C353" s="5">
        <v>0</v>
      </c>
      <c r="E353" s="2">
        <f>E352+D353</f>
        <v>30620.51</v>
      </c>
    </row>
    <row r="354">
      <c r="A354" s="0" t="inlineStr">
        <is>
          <t xml:space="preserve">2025-12-19</t>
        </is>
      </c>
      <c r="B354" s="0" t="inlineStr">
        <is>
          <t xml:space="preserve">Fri</t>
        </is>
      </c>
      <c r="C354" s="5">
        <v>0</v>
      </c>
      <c r="E354" s="2">
        <f>E353+D354</f>
        <v>30620.51</v>
      </c>
    </row>
    <row r="355">
      <c r="A355" s="0" t="inlineStr">
        <is>
          <t xml:space="preserve">2025-12-20</t>
        </is>
      </c>
      <c r="B355" s="0" t="inlineStr">
        <is>
          <t xml:space="preserve">Sat</t>
        </is>
      </c>
      <c r="C355" s="5">
        <v>0</v>
      </c>
      <c r="E355" s="2">
        <f>E354+D355</f>
        <v>30620.51</v>
      </c>
    </row>
    <row r="356">
      <c r="A356" s="0" t="inlineStr">
        <is>
          <t xml:space="preserve">2025-12-21</t>
        </is>
      </c>
      <c r="B356" s="0" t="inlineStr">
        <is>
          <t xml:space="preserve">Sun</t>
        </is>
      </c>
      <c r="C356" s="5">
        <v>0</v>
      </c>
      <c r="E356" s="2">
        <f>E355+D356</f>
        <v>30620.51</v>
      </c>
    </row>
    <row r="357">
      <c r="A357" s="0" t="inlineStr">
        <is>
          <t xml:space="preserve">2025-12-22</t>
        </is>
      </c>
      <c r="B357" s="0" t="inlineStr">
        <is>
          <t xml:space="preserve">Mon</t>
        </is>
      </c>
      <c r="C357" s="5">
        <v>0</v>
      </c>
      <c r="E357" s="2">
        <f>E356+D357</f>
        <v>30620.51</v>
      </c>
    </row>
    <row r="358">
      <c r="A358" s="0" t="inlineStr">
        <is>
          <t xml:space="preserve">2025-12-23</t>
        </is>
      </c>
      <c r="B358" s="0" t="inlineStr">
        <is>
          <t xml:space="preserve">Tue</t>
        </is>
      </c>
      <c r="C358" s="5">
        <v>0</v>
      </c>
      <c r="E358" s="2">
        <f>E357+D358</f>
        <v>30620.51</v>
      </c>
    </row>
    <row r="359">
      <c r="A359" s="0" t="inlineStr">
        <is>
          <t xml:space="preserve">2025-12-24</t>
        </is>
      </c>
      <c r="B359" s="0" t="inlineStr">
        <is>
          <t xml:space="preserve">Wed</t>
        </is>
      </c>
      <c r="C359" s="5">
        <v>0</v>
      </c>
      <c r="E359" s="2">
        <f>E358+D359</f>
        <v>30620.51</v>
      </c>
    </row>
    <row r="360">
      <c r="A360" s="0" t="inlineStr">
        <is>
          <t xml:space="preserve">2025-12-25</t>
        </is>
      </c>
      <c r="B360" s="0" t="inlineStr">
        <is>
          <t xml:space="preserve">Thu</t>
        </is>
      </c>
      <c r="C360" s="5">
        <v>0</v>
      </c>
      <c r="E360" s="2">
        <f>E359+D360</f>
        <v>30620.51</v>
      </c>
    </row>
    <row r="361">
      <c r="A361" s="0" t="inlineStr">
        <is>
          <t xml:space="preserve">2025-12-26</t>
        </is>
      </c>
      <c r="B361" s="0" t="inlineStr">
        <is>
          <t xml:space="preserve">Fri</t>
        </is>
      </c>
      <c r="C361" s="5">
        <v>0</v>
      </c>
      <c r="E361" s="2">
        <f>E360+D361</f>
        <v>30620.51</v>
      </c>
    </row>
    <row r="362">
      <c r="A362" s="0" t="inlineStr">
        <is>
          <t xml:space="preserve">2025-12-27</t>
        </is>
      </c>
      <c r="B362" s="0" t="inlineStr">
        <is>
          <t xml:space="preserve">Sat</t>
        </is>
      </c>
      <c r="C362" s="5">
        <v>0</v>
      </c>
      <c r="E362" s="2">
        <f>E361+D362</f>
        <v>30620.51</v>
      </c>
    </row>
    <row r="363">
      <c r="A363" s="0" t="inlineStr">
        <is>
          <t xml:space="preserve">2025-12-28</t>
        </is>
      </c>
      <c r="B363" s="0" t="inlineStr">
        <is>
          <t xml:space="preserve">Sun</t>
        </is>
      </c>
      <c r="C363" s="5">
        <v>0</v>
      </c>
      <c r="E363" s="2">
        <f>E362+D363</f>
        <v>30620.51</v>
      </c>
    </row>
    <row r="364">
      <c r="A364" s="0" t="inlineStr">
        <is>
          <t xml:space="preserve">2025-12-29</t>
        </is>
      </c>
      <c r="B364" s="0" t="inlineStr">
        <is>
          <t xml:space="preserve">Mon</t>
        </is>
      </c>
      <c r="C364" s="5">
        <v>0</v>
      </c>
      <c r="E364" s="2">
        <f>E363+D364</f>
        <v>30620.51</v>
      </c>
    </row>
    <row r="365">
      <c r="A365" s="0" t="inlineStr">
        <is>
          <t xml:space="preserve">2025-12-30</t>
        </is>
      </c>
      <c r="B365" s="0" t="inlineStr">
        <is>
          <t xml:space="preserve">Tue</t>
        </is>
      </c>
      <c r="C365" s="5">
        <v>0</v>
      </c>
      <c r="E365" s="2">
        <f>E364+D365</f>
        <v>30620.51</v>
      </c>
    </row>
    <row r="366">
      <c r="A366" s="0" t="inlineStr">
        <is>
          <t xml:space="preserve">2025-12-31</t>
        </is>
      </c>
      <c r="B366" s="0" t="inlineStr">
        <is>
          <t xml:space="preserve">Wed</t>
        </is>
      </c>
      <c r="C366" s="5">
        <v>1</v>
      </c>
      <c r="D366" s="2">
        <v>1500.0</v>
      </c>
      <c r="E366" s="2">
        <f>E365+D366</f>
        <v>32120.51</v>
      </c>
    </row>
  </sheetData>
</worksheet>
</file>

<file path=xl/worksheets/sheet4.xml><?xml version="1.0" encoding="utf-8"?>
<worksheet xmlns="http://schemas.openxmlformats.org/spreadsheetml/2006/main">
  <cols>
    <col min="1" max="1" width="17.57" customWidth="1"/>
    <col min="2" max="2" width="18.92" customWidth="1"/>
    <col min="3" max="3" width="18.92" customWidth="1"/>
    <col min="4" max="4" width="18.92" customWidth="1"/>
    <col min="5" max="5" width="18.92" customWidth="1"/>
    <col min="6" max="6" width="18.92" customWidth="1"/>
    <col min="7" max="7" width="18.92" customWidth="1"/>
    <col min="8" max="8" width="14.86" customWidth="1"/>
    <col min="9" max="9" width="18.92" customWidth="1"/>
    <col min="10" max="10" width="14.86" customWidth="1"/>
    <col min="11" max="11" width="10.81" customWidth="1"/>
  </cols>
  <sheetData>
    <row r="1">
      <c r="A1" s="1" t="inlineStr">
        <is>
          <t xml:space="preserve">Month</t>
        </is>
      </c>
      <c r="B1" s="1" t="inlineStr">
        <is>
          <t xml:space="preserve">Opening</t>
        </is>
      </c>
      <c r="C1" s="1" t="inlineStr">
        <is>
          <t xml:space="preserve">Money in</t>
        </is>
      </c>
      <c r="D1" s="1" t="inlineStr">
        <is>
          <t xml:space="preserve">Money out</t>
        </is>
      </c>
      <c r="E1" s="1" t="inlineStr">
        <is>
          <t xml:space="preserve">Net</t>
        </is>
      </c>
      <c r="F1" s="1" t="inlineStr">
        <is>
          <t xml:space="preserve">Closing</t>
        </is>
      </c>
      <c r="G1" s="1" t="inlineStr">
        <is>
          <t xml:space="preserve">Statement</t>
        </is>
      </c>
      <c r="H1" s="1" t="inlineStr">
        <is>
          <t xml:space="preserve">Check</t>
        </is>
      </c>
      <c r="I1" s="1" t="inlineStr">
        <is>
          <t xml:space="preserve">Peak in month</t>
        </is>
      </c>
      <c r="J1" s="1" t="inlineStr">
        <is>
          <t xml:space="preserve">Peak date</t>
        </is>
      </c>
      <c r="K1" s="1" t="inlineStr">
        <is>
          <t xml:space="preserve">Txns</t>
        </is>
      </c>
    </row>
    <row r="2">
      <c r="A2" s="0" t="inlineStr">
        <is>
          <t xml:space="preserve">January 2025</t>
        </is>
      </c>
      <c r="B2" s="2">
        <f>Summary!D2</f>
        <v>11053.84</v>
      </c>
      <c r="C2" s="2">
        <v>2250.0</v>
      </c>
      <c r="D2" s="2">
        <v>0.0</v>
      </c>
      <c r="E2" s="2">
        <f>C2+D2</f>
        <v>2250.0</v>
      </c>
      <c r="F2" s="2">
        <f>B2+E2</f>
        <v>13303.84</v>
      </c>
      <c r="G2" s="2">
        <v>13303.84</v>
      </c>
      <c r="H2" s="0" t="str">
        <f>IF(F2=G2,"MATCH","MISMATCH")</f>
        <v>MATCH</v>
      </c>
      <c r="I2" s="2">
        <f>MAX(Daily!E2:E32)</f>
        <v>13303.84</v>
      </c>
      <c r="J2" s="0" t="inlineStr">
        <is>
          <t xml:space="preserve">2025-01-07</t>
        </is>
      </c>
      <c r="K2" s="5">
        <v>1</v>
      </c>
    </row>
    <row r="3">
      <c r="A3" s="0" t="inlineStr">
        <is>
          <t xml:space="preserve">February 2025</t>
        </is>
      </c>
      <c r="B3" s="2">
        <f>F2</f>
        <v>13303.84</v>
      </c>
      <c r="C3" s="2">
        <v>0.0</v>
      </c>
      <c r="D3" s="2">
        <v>0.0</v>
      </c>
      <c r="E3" s="2">
        <f>C3+D3</f>
        <v>0.0</v>
      </c>
      <c r="F3" s="2">
        <f>B3+E3</f>
        <v>13303.84</v>
      </c>
      <c r="G3" s="2">
        <v>13303.84</v>
      </c>
      <c r="H3" s="0" t="str">
        <f>IF(F3=G3,"MATCH","MISMATCH")</f>
        <v>MATCH</v>
      </c>
      <c r="I3" s="2">
        <f>MAX(Daily!E33:E60)</f>
        <v>13303.84</v>
      </c>
      <c r="J3" s="0" t="inlineStr">
        <is>
          <t xml:space="preserve">2025-02-01</t>
        </is>
      </c>
      <c r="K3" s="5">
        <v>0</v>
      </c>
    </row>
    <row r="4">
      <c r="A4" s="0" t="inlineStr">
        <is>
          <t xml:space="preserve">March 2025</t>
        </is>
      </c>
      <c r="B4" s="2">
        <f>F3</f>
        <v>13303.84</v>
      </c>
      <c r="C4" s="2">
        <v>3788.14</v>
      </c>
      <c r="D4" s="2">
        <v>-106.58</v>
      </c>
      <c r="E4" s="2">
        <f>C4+D4</f>
        <v>3681.56</v>
      </c>
      <c r="F4" s="2">
        <f>B4+E4</f>
        <v>16985.4</v>
      </c>
      <c r="G4" s="2">
        <v>16985.4</v>
      </c>
      <c r="H4" s="0" t="str">
        <f>IF(F4=G4,"MATCH","MISMATCH")</f>
        <v>MATCH</v>
      </c>
      <c r="I4" s="2">
        <f>MAX(Daily!E61:E91)</f>
        <v>16985.4</v>
      </c>
      <c r="J4" s="0" t="inlineStr">
        <is>
          <t xml:space="preserve">2025-03-26</t>
        </is>
      </c>
      <c r="K4" s="5">
        <v>3</v>
      </c>
    </row>
    <row r="5">
      <c r="A5" s="0" t="inlineStr">
        <is>
          <t xml:space="preserve">April 2025</t>
        </is>
      </c>
      <c r="B5" s="2">
        <f>F4</f>
        <v>16985.4</v>
      </c>
      <c r="C5" s="2">
        <v>12011.88</v>
      </c>
      <c r="D5" s="2">
        <v>-1.08</v>
      </c>
      <c r="E5" s="2">
        <f>C5+D5</f>
        <v>12010.8</v>
      </c>
      <c r="F5" s="2">
        <f>B5+E5</f>
        <v>28996.2</v>
      </c>
      <c r="G5" s="2">
        <v>28996.2</v>
      </c>
      <c r="H5" s="0" t="str">
        <f>IF(F5=G5,"MATCH","MISMATCH")</f>
        <v>MATCH</v>
      </c>
      <c r="I5" s="2">
        <f>MAX(Daily!E92:E121)</f>
        <v>28997.24</v>
      </c>
      <c r="J5" s="0" t="inlineStr">
        <is>
          <t xml:space="preserve">2025-04-07</t>
        </is>
      </c>
      <c r="K5" s="5">
        <v>5</v>
      </c>
    </row>
    <row r="6">
      <c r="A6" s="0" t="inlineStr">
        <is>
          <t xml:space="preserve">May 2025</t>
        </is>
      </c>
      <c r="B6" s="2">
        <f>F5</f>
        <v>28996.2</v>
      </c>
      <c r="C6" s="2">
        <v>0.0</v>
      </c>
      <c r="D6" s="2">
        <v>0.0</v>
      </c>
      <c r="E6" s="2">
        <f>C6+D6</f>
        <v>0.0</v>
      </c>
      <c r="F6" s="2">
        <f>B6+E6</f>
        <v>28996.2</v>
      </c>
      <c r="G6" s="2">
        <v>28996.2</v>
      </c>
      <c r="H6" s="0" t="str">
        <f>IF(F6=G6,"MATCH","MISMATCH")</f>
        <v>MATCH</v>
      </c>
      <c r="I6" s="2">
        <f>MAX(Daily!E122:E152)</f>
        <v>28996.2</v>
      </c>
      <c r="J6" s="0" t="inlineStr">
        <is>
          <t xml:space="preserve">2025-05-01</t>
        </is>
      </c>
      <c r="K6" s="5">
        <v>0</v>
      </c>
    </row>
    <row r="7">
      <c r="A7" s="0" t="inlineStr">
        <is>
          <t xml:space="preserve">June 2025</t>
        </is>
      </c>
      <c r="B7" s="2">
        <f>F6</f>
        <v>28996.2</v>
      </c>
      <c r="C7" s="2">
        <v>327.0</v>
      </c>
      <c r="D7" s="2">
        <v>-6.44</v>
      </c>
      <c r="E7" s="2">
        <f>C7+D7</f>
        <v>320.56</v>
      </c>
      <c r="F7" s="2">
        <f>B7+E7</f>
        <v>29316.76</v>
      </c>
      <c r="G7" s="2">
        <v>29316.76</v>
      </c>
      <c r="H7" s="0" t="str">
        <f>IF(F7=G7,"MATCH","MISMATCH")</f>
        <v>MATCH</v>
      </c>
      <c r="I7" s="2">
        <f>MAX(Daily!E153:E182)</f>
        <v>29323.2</v>
      </c>
      <c r="J7" s="0" t="inlineStr">
        <is>
          <t xml:space="preserve">2025-06-27</t>
        </is>
      </c>
      <c r="K7" s="5">
        <v>2</v>
      </c>
    </row>
    <row r="8">
      <c r="A8" s="0" t="inlineStr">
        <is>
          <t xml:space="preserve">July 2025</t>
        </is>
      </c>
      <c r="B8" s="2">
        <f>F7</f>
        <v>29316.76</v>
      </c>
      <c r="C8" s="2">
        <v>8481.39</v>
      </c>
      <c r="D8" s="2">
        <v>-2640.22</v>
      </c>
      <c r="E8" s="2">
        <f>C8+D8</f>
        <v>5841.17</v>
      </c>
      <c r="F8" s="2">
        <f>B8+E8</f>
        <v>35157.93</v>
      </c>
      <c r="G8" s="2">
        <v>35157.93</v>
      </c>
      <c r="H8" s="0" t="str">
        <f>IF(F8=G8,"MATCH","MISMATCH")</f>
        <v>MATCH</v>
      </c>
      <c r="I8" s="2">
        <f>MAX(Daily!E183:E213)</f>
        <v>35157.93</v>
      </c>
      <c r="J8" s="0" t="inlineStr">
        <is>
          <t xml:space="preserve">2025-07-31</t>
        </is>
      </c>
      <c r="K8" s="5">
        <v>6</v>
      </c>
    </row>
    <row r="9">
      <c r="A9" s="0" t="inlineStr">
        <is>
          <t xml:space="preserve">August 2025</t>
        </is>
      </c>
      <c r="B9" s="2">
        <f>F8</f>
        <v>35157.93</v>
      </c>
      <c r="C9" s="2">
        <v>2143.18</v>
      </c>
      <c r="D9" s="2">
        <v>-6600.54</v>
      </c>
      <c r="E9" s="2">
        <f>C9+D9</f>
        <v>-4457.36</v>
      </c>
      <c r="F9" s="2">
        <f>B9+E9</f>
        <v>30700.57</v>
      </c>
      <c r="G9" s="2">
        <v>30700.57</v>
      </c>
      <c r="H9" s="0" t="str">
        <f>IF(F9=G9,"MATCH","MISMATCH")</f>
        <v>MATCH</v>
      </c>
      <c r="I9" s="2">
        <f>MAX(Daily!E214:E244)</f>
        <v>35157.93</v>
      </c>
      <c r="J9" s="0" t="inlineStr">
        <is>
          <t xml:space="preserve">2025-08-01</t>
        </is>
      </c>
      <c r="K9" s="5">
        <v>4</v>
      </c>
    </row>
    <row r="10">
      <c r="A10" s="0" t="inlineStr">
        <is>
          <t xml:space="preserve">September 2025</t>
        </is>
      </c>
      <c r="B10" s="2">
        <f>F9</f>
        <v>30700.57</v>
      </c>
      <c r="C10" s="2">
        <v>5908.02</v>
      </c>
      <c r="D10" s="2">
        <v>-2359.96</v>
      </c>
      <c r="E10" s="2">
        <f>C10+D10</f>
        <v>3548.06</v>
      </c>
      <c r="F10" s="2">
        <f>B10+E10</f>
        <v>34248.63</v>
      </c>
      <c r="G10" s="2">
        <v>34248.63</v>
      </c>
      <c r="H10" s="0" t="str">
        <f>IF(F10=G10,"MATCH","MISMATCH")</f>
        <v>MATCH</v>
      </c>
      <c r="I10" s="2">
        <f>MAX(Daily!E245:E274)</f>
        <v>34248.63</v>
      </c>
      <c r="J10" s="0" t="inlineStr">
        <is>
          <t xml:space="preserve">2025-09-22</t>
        </is>
      </c>
      <c r="K10" s="5">
        <v>5</v>
      </c>
    </row>
    <row r="11">
      <c r="A11" s="0" t="inlineStr">
        <is>
          <t xml:space="preserve">October 2025</t>
        </is>
      </c>
      <c r="B11" s="2">
        <f>F10</f>
        <v>34248.63</v>
      </c>
      <c r="C11" s="2">
        <v>141.39</v>
      </c>
      <c r="D11" s="2">
        <v>-3774.6</v>
      </c>
      <c r="E11" s="2">
        <f>C11+D11</f>
        <v>-3633.21</v>
      </c>
      <c r="F11" s="2">
        <f>B11+E11</f>
        <v>30615.42</v>
      </c>
      <c r="G11" s="2">
        <v>30615.42</v>
      </c>
      <c r="H11" s="0" t="str">
        <f>IF(F11=G11,"MATCH","MISMATCH")</f>
        <v>MATCH</v>
      </c>
      <c r="I11" s="2">
        <f>MAX(Daily!E275:E305)</f>
        <v>34248.63</v>
      </c>
      <c r="J11" s="0" t="inlineStr">
        <is>
          <t xml:space="preserve">2025-10-01</t>
        </is>
      </c>
      <c r="K11" s="5">
        <v>2</v>
      </c>
    </row>
    <row r="12">
      <c r="A12" s="0" t="inlineStr">
        <is>
          <t xml:space="preserve">November 2025</t>
        </is>
      </c>
      <c r="B12" s="2">
        <f>F11</f>
        <v>30615.42</v>
      </c>
      <c r="C12" s="2">
        <v>179.05</v>
      </c>
      <c r="D12" s="2">
        <v>-80.9</v>
      </c>
      <c r="E12" s="2">
        <f>C12+D12</f>
        <v>98.15</v>
      </c>
      <c r="F12" s="2">
        <f>B12+E12</f>
        <v>30713.57</v>
      </c>
      <c r="G12" s="2">
        <v>30713.57</v>
      </c>
      <c r="H12" s="0" t="str">
        <f>IF(F12=G12,"MATCH","MISMATCH")</f>
        <v>MATCH</v>
      </c>
      <c r="I12" s="2">
        <f>MAX(Daily!E306:E335)</f>
        <v>30713.57</v>
      </c>
      <c r="J12" s="0" t="inlineStr">
        <is>
          <t xml:space="preserve">2025-11-21</t>
        </is>
      </c>
      <c r="K12" s="5">
        <v>3</v>
      </c>
    </row>
    <row r="13">
      <c r="A13" s="0" t="inlineStr">
        <is>
          <t xml:space="preserve">December 2025</t>
        </is>
      </c>
      <c r="B13" s="2">
        <f>F12</f>
        <v>30713.57</v>
      </c>
      <c r="C13" s="2">
        <v>1500.0</v>
      </c>
      <c r="D13" s="2">
        <v>-93.06</v>
      </c>
      <c r="E13" s="2">
        <f>C13+D13</f>
        <v>1406.94</v>
      </c>
      <c r="F13" s="2">
        <f>B13+E13</f>
        <v>32120.51</v>
      </c>
      <c r="G13" s="2">
        <v>32120.51</v>
      </c>
      <c r="H13" s="0" t="str">
        <f>IF(F13=G13,"MATCH","MISMATCH")</f>
        <v>MATCH</v>
      </c>
      <c r="I13" s="2">
        <f>MAX(Daily!E336:E366)</f>
        <v>32120.51</v>
      </c>
      <c r="J13" s="0" t="inlineStr">
        <is>
          <t xml:space="preserve">2025-12-31</t>
        </is>
      </c>
      <c r="K13" s="5">
        <v>2</v>
      </c>
    </row>
    <row r="14">
      <c r="A14" s="1" t="inlineStr">
        <is>
          <t xml:space="preserve">FULL YEAR 2025</t>
        </is>
      </c>
      <c r="B14" s="3">
        <f>Summary!D2</f>
        <v>11053.84</v>
      </c>
      <c r="C14" s="3">
        <f>SUM(C2:C13)</f>
        <v>36730.05</v>
      </c>
      <c r="D14" s="3">
        <f>SUM(D2:D13)</f>
        <v>-15663.38</v>
      </c>
      <c r="E14" s="3">
        <f>C14+D14</f>
        <v>21066.67</v>
      </c>
      <c r="F14" s="3">
        <f>B14+E14</f>
        <v>32120.51</v>
      </c>
      <c r="G14" s="3">
        <f>F13</f>
        <v>32120.51</v>
      </c>
      <c r="H14" s="1" t="str">
        <f>IF(F14=G14,"MATCH","MISMATCH")</f>
        <v>MATCH</v>
      </c>
      <c r="I14" s="3">
        <f>MAX(Daily!E2:E366)</f>
        <v>35157.93</v>
      </c>
      <c r="J14" s="1" t="inlineStr">
        <is>
          <t xml:space="preserve">2025-07-31</t>
        </is>
      </c>
      <c r="K14" s="6">
        <f>SUM(K2:K13)</f>
        <v>33</v>
      </c>
    </row>
  </sheetData>
</worksheet>
</file>

<file path=xl/worksheets/sheet5.xml><?xml version="1.0" encoding="utf-8"?>
<worksheet xmlns="http://schemas.openxmlformats.org/spreadsheetml/2006/main">
  <cols>
    <col min="1" max="1" width="14.86" customWidth="1"/>
    <col min="2" max="2" width="22.97" customWidth="1"/>
    <col min="3" max="3" width="20.27" customWidth="1"/>
    <col min="4" max="4" width="40.54" customWidth="1"/>
    <col min="5" max="5" width="56.76" customWidth="1"/>
    <col min="6" max="6" width="18.92" customWidth="1"/>
    <col min="7" max="7" width="18.92" customWidth="1"/>
  </cols>
  <sheetData>
    <row r="1">
      <c r="A1" s="1" t="inlineStr">
        <is>
          <t xml:space="preserve">Posted</t>
        </is>
      </c>
      <c r="B1" s="1" t="inlineStr">
        <is>
          <t xml:space="preserve">Account</t>
        </is>
      </c>
      <c r="C1" s="1" t="inlineStr">
        <is>
          <t xml:space="preserve">Type</t>
        </is>
      </c>
      <c r="D1" s="1" t="inlineStr">
        <is>
          <t xml:space="preserve">Counterparty</t>
        </is>
      </c>
      <c r="E1" s="1" t="inlineStr">
        <is>
          <t xml:space="preserve">Description</t>
        </is>
      </c>
      <c r="F1" s="1" t="inlineStr">
        <is>
          <t xml:space="preserve">Amount (USD)</t>
        </is>
      </c>
      <c r="G1" s="1" t="inlineStr">
        <is>
          <t xml:space="preserve">Balance (USD)</t>
        </is>
      </c>
    </row>
    <row r="2">
      <c r="A2" s="0" t="inlineStr">
        <is>
          <t xml:space="preserve">2025-01-07</t>
        </is>
      </c>
      <c r="B2" s="0" t="inlineStr">
        <is>
          <t xml:space="preserve">Checking ••6538</t>
        </is>
      </c>
      <c r="C2" s="0" t="inlineStr">
        <is>
          <t xml:space="preserve">Incoming wire (domestic)</t>
        </is>
      </c>
      <c r="D2" s="0" t="inlineStr">
        <is>
          <t xml:space="preserve">K2 OFFERS LLC</t>
        </is>
      </c>
      <c r="E2" s="0" t="inlineStr">
        <is>
          <t xml:space="preserve">AFFILIATE PAYMENT</t>
        </is>
      </c>
      <c r="F2" s="2">
        <v>2250.0</v>
      </c>
      <c r="G2" s="2">
        <f>Summary!D2+F2</f>
        <v>13303.84</v>
      </c>
    </row>
    <row r="3">
      <c r="A3" s="0" t="inlineStr">
        <is>
          <t xml:space="preserve">2025-03-13</t>
        </is>
      </c>
      <c r="B3" s="0" t="inlineStr">
        <is>
          <t xml:space="preserve">Checking ••6538</t>
        </is>
      </c>
      <c r="C3" s="0" t="inlineStr">
        <is>
          <t xml:space="preserve">Outgoing payment</t>
        </is>
      </c>
      <c r="D3" s="0" t="inlineStr">
        <is>
          <t xml:space="preserve">Google LLC</t>
        </is>
      </c>
      <c r="E3" s="0" t="inlineStr">
        <is>
          <t xml:space="preserve">Invoice No. 5198439717 · your label: Google CL</t>
        </is>
      </c>
      <c r="F3" s="2">
        <v>-16.58</v>
      </c>
      <c r="G3" s="2">
        <f>G2+F3</f>
        <v>13287.26</v>
      </c>
    </row>
    <row r="4">
      <c r="A4" s="0" t="inlineStr">
        <is>
          <t xml:space="preserve">2025-03-24</t>
        </is>
      </c>
      <c r="B4" s="0" t="inlineStr">
        <is>
          <t xml:space="preserve">Checking ••6538</t>
        </is>
      </c>
      <c r="C4" s="0" t="inlineStr">
        <is>
          <t xml:space="preserve">Outgoing payment</t>
        </is>
      </c>
      <c r="D4" s="0" t="inlineStr">
        <is>
          <t xml:space="preserve">Books &amp; Counts LLC</t>
        </is>
      </c>
      <c r="E4" s="0" t="inlineStr">
        <is>
          <t xml:space="preserve">ITR GCALIT LLC Filed by RAUNAC · your label: Raunac CA</t>
        </is>
      </c>
      <c r="F4" s="2">
        <v>-90.0</v>
      </c>
      <c r="G4" s="2">
        <f>G3+F4</f>
        <v>13197.26</v>
      </c>
    </row>
    <row r="5">
      <c r="A5" s="0" t="inlineStr">
        <is>
          <t xml:space="preserve">2025-03-26</t>
        </is>
      </c>
      <c r="B5" s="0" t="inlineStr">
        <is>
          <t xml:space="preserve">Checking ••6538</t>
        </is>
      </c>
      <c r="C5" s="0" t="inlineStr">
        <is>
          <t xml:space="preserve">Incoming wire (domestic)</t>
        </is>
      </c>
      <c r="D5" s="0" t="inlineStr">
        <is>
          <t xml:space="preserve">BUYGOODS INC.</t>
        </is>
      </c>
      <c r="E5" s="0" t="inlineStr">
        <is>
          <t xml:space="preserve">AFFILIATE PAYMENT</t>
        </is>
      </c>
      <c r="F5" s="2">
        <v>3788.14</v>
      </c>
      <c r="G5" s="2">
        <f>G4+F5</f>
        <v>16985.4</v>
      </c>
    </row>
    <row r="6">
      <c r="A6" s="0" t="inlineStr">
        <is>
          <t xml:space="preserve">2025-04-02</t>
        </is>
      </c>
      <c r="B6" s="0" t="inlineStr">
        <is>
          <t xml:space="preserve">Checking ••6538</t>
        </is>
      </c>
      <c r="C6" s="0" t="inlineStr">
        <is>
          <t xml:space="preserve">Incoming wire (domestic)</t>
        </is>
      </c>
      <c r="D6" s="0" t="inlineStr">
        <is>
          <t xml:space="preserve">BUYGOODS INC.</t>
        </is>
      </c>
      <c r="E6" s="0" t="inlineStr">
        <is>
          <t xml:space="preserve">AFFILIATE PAYMENT</t>
        </is>
      </c>
      <c r="F6" s="2">
        <v>8548.04</v>
      </c>
      <c r="G6" s="2">
        <f>G5+F6</f>
        <v>25533.44</v>
      </c>
    </row>
    <row r="7">
      <c r="A7" s="0" t="inlineStr">
        <is>
          <t xml:space="preserve">2025-04-04</t>
        </is>
      </c>
      <c r="B7" s="0" t="inlineStr">
        <is>
          <t xml:space="preserve">Checking ••6538</t>
        </is>
      </c>
      <c r="C7" s="0" t="inlineStr">
        <is>
          <t xml:space="preserve">Incoming wire (international)</t>
        </is>
      </c>
      <c r="D7" s="0" t="inlineStr">
        <is>
          <t xml:space="preserve">CLICKSTACK LTD.</t>
        </is>
      </c>
      <c r="E7" s="0" t="inlineStr">
        <is>
          <t xml:space="preserve">/URI/VENDOR PAYMENT///ROC/WW25040367291259</t>
        </is>
      </c>
      <c r="F7" s="2">
        <v>1340.0</v>
      </c>
      <c r="G7" s="2">
        <f>G6+F7</f>
        <v>26873.44</v>
      </c>
    </row>
    <row r="8">
      <c r="A8" s="0" t="inlineStr">
        <is>
          <t xml:space="preserve">2025-04-07</t>
        </is>
      </c>
      <c r="B8" s="0" t="inlineStr">
        <is>
          <t xml:space="preserve">Checking ••6538</t>
        </is>
      </c>
      <c r="C8" s="0" t="inlineStr">
        <is>
          <t xml:space="preserve">Incoming wire (domestic)</t>
        </is>
      </c>
      <c r="D8" s="0" t="inlineStr">
        <is>
          <t xml:space="preserve">BUYGOODS INC.</t>
        </is>
      </c>
      <c r="E8" s="0" t="inlineStr">
        <is>
          <t xml:space="preserve">AFFILIATE PAYMENT</t>
        </is>
      </c>
      <c r="F8" s="2">
        <v>2123.8</v>
      </c>
      <c r="G8" s="2">
        <f>G7+F8</f>
        <v>28997.24</v>
      </c>
    </row>
    <row r="9">
      <c r="A9" s="0" t="inlineStr">
        <is>
          <t xml:space="preserve">2025-04-21</t>
        </is>
      </c>
      <c r="B9" s="0" t="inlineStr">
        <is>
          <t xml:space="preserve">Checking ••6538</t>
        </is>
      </c>
      <c r="C9" s="0" t="inlineStr">
        <is>
          <t xml:space="preserve">Outgoing payment</t>
        </is>
      </c>
      <c r="D9" s="0" t="inlineStr">
        <is>
          <t xml:space="preserve">Google LLC</t>
        </is>
      </c>
      <c r="E9" s="0" t="inlineStr">
        <is>
          <t xml:space="preserve">Send Money transaction initiated on Mercury · your label: Google CL</t>
        </is>
      </c>
      <c r="F9" s="2">
        <v>-1.08</v>
      </c>
      <c r="G9" s="2">
        <f>G8+F9</f>
        <v>28996.16</v>
      </c>
    </row>
    <row r="10">
      <c r="A10" s="0" t="inlineStr">
        <is>
          <t xml:space="preserve">2025-04-21</t>
        </is>
      </c>
      <c r="B10" s="0" t="inlineStr">
        <is>
          <t xml:space="preserve">Checking ••6538</t>
        </is>
      </c>
      <c r="C10" s="0" t="inlineStr">
        <is>
          <t xml:space="preserve">ACH / internal</t>
        </is>
      </c>
      <c r="D10" s="0" t="inlineStr">
        <is>
          <t xml:space="preserve">GOOGLE</t>
        </is>
      </c>
      <c r="E10" s="0" t="inlineStr">
        <is>
          <t xml:space="preserve">GOOGLE; ACCTVERIFY; GCALIT LLC</t>
        </is>
      </c>
      <c r="F10" s="2">
        <v>0.04</v>
      </c>
      <c r="G10" s="2">
        <f>G9+F10</f>
        <v>28996.2</v>
      </c>
    </row>
    <row r="11">
      <c r="A11" s="0" t="inlineStr">
        <is>
          <t xml:space="preserve">2025-06-27</t>
        </is>
      </c>
      <c r="B11" s="0" t="inlineStr">
        <is>
          <t xml:space="preserve">Checking ••6538</t>
        </is>
      </c>
      <c r="C11" s="0" t="inlineStr">
        <is>
          <t xml:space="preserve">ACH / internal</t>
        </is>
      </c>
      <c r="D11" s="0" t="inlineStr">
        <is>
          <t xml:space="preserve">Guru Media Int L</t>
        </is>
      </c>
      <c r="E11" s="0" t="inlineStr">
        <is>
          <t xml:space="preserve">NTE*OBI*Affiliate Marketing Commission\</t>
        </is>
      </c>
      <c r="F11" s="2">
        <v>327.0</v>
      </c>
      <c r="G11" s="2">
        <f>G10+F11</f>
        <v>29323.2</v>
      </c>
    </row>
    <row r="12">
      <c r="A12" s="0" t="inlineStr">
        <is>
          <t xml:space="preserve">2025-06-30</t>
        </is>
      </c>
      <c r="B12" s="0" t="inlineStr">
        <is>
          <t xml:space="preserve">Checking ••6538</t>
        </is>
      </c>
      <c r="C12" s="0" t="inlineStr">
        <is>
          <t xml:space="preserve">Outgoing payment</t>
        </is>
      </c>
      <c r="D12" s="0" t="inlineStr">
        <is>
          <t xml:space="preserve">Google LLC</t>
        </is>
      </c>
      <c r="E12" s="0" t="inlineStr">
        <is>
          <t xml:space="preserve">Invoice number: 5276703039; Invoice Number - 5276703039 Invoice Date - May 31, 2025 Billing ID - 8327-3971-0682 Account ID  - 405-199-0952 · your label: Google CL</t>
        </is>
      </c>
      <c r="F12" s="2">
        <v>-6.44</v>
      </c>
      <c r="G12" s="2">
        <f>G11+F12</f>
        <v>29316.76</v>
      </c>
    </row>
    <row r="13">
      <c r="A13" s="0" t="inlineStr">
        <is>
          <t xml:space="preserve">2025-07-02</t>
        </is>
      </c>
      <c r="B13" s="0" t="inlineStr">
        <is>
          <t xml:space="preserve">Checking ••6538</t>
        </is>
      </c>
      <c r="C13" s="0" t="inlineStr">
        <is>
          <t xml:space="preserve">Outgoing payment</t>
        </is>
      </c>
      <c r="D13" s="0" t="inlineStr">
        <is>
          <t xml:space="preserve">Google LLC</t>
        </is>
      </c>
      <c r="E13" s="0" t="inlineStr">
        <is>
          <t xml:space="preserve">Invoice Payment 5300675820; Invoice Number - 5300675820 Invoice Date - June 30, 2025 Billing ID - 8327-3971-0682 Account ID  - 405-199-0952 · your label: Google CL</t>
        </is>
      </c>
      <c r="F13" s="2">
        <v>-2398.97</v>
      </c>
      <c r="G13" s="2">
        <f>G12+F13</f>
        <v>26917.79</v>
      </c>
    </row>
    <row r="14">
      <c r="A14" s="0" t="inlineStr">
        <is>
          <t xml:space="preserve">2025-07-09</t>
        </is>
      </c>
      <c r="B14" s="0" t="inlineStr">
        <is>
          <t xml:space="preserve">Checking ••6538</t>
        </is>
      </c>
      <c r="C14" s="0" t="inlineStr">
        <is>
          <t xml:space="preserve">Incoming wire (domestic)</t>
        </is>
      </c>
      <c r="D14" s="0" t="inlineStr">
        <is>
          <t xml:space="preserve">BUYGOODS INC.</t>
        </is>
      </c>
      <c r="E14" s="0" t="inlineStr">
        <is>
          <t xml:space="preserve">AFFILIATE PAYMENT</t>
        </is>
      </c>
      <c r="F14" s="2">
        <v>6347.78</v>
      </c>
      <c r="G14" s="2">
        <f>G13+F14</f>
        <v>33265.57</v>
      </c>
    </row>
    <row r="15">
      <c r="A15" s="0" t="inlineStr">
        <is>
          <t xml:space="preserve">2025-07-12</t>
        </is>
      </c>
      <c r="B15" s="0" t="inlineStr">
        <is>
          <t xml:space="preserve">Checking ••6538</t>
        </is>
      </c>
      <c r="C15" s="0" t="inlineStr">
        <is>
          <t xml:space="preserve">Sent to card</t>
        </is>
      </c>
      <c r="D15" s="0" t="inlineStr">
        <is>
          <t xml:space="preserve">Mercury Credit</t>
        </is>
      </c>
      <c r="E15" s="0" t="inlineStr">
        <is>
          <t xml:space="preserve">IO AUTOPAY</t>
        </is>
      </c>
      <c r="F15" s="2">
        <v>-241.25</v>
      </c>
      <c r="G15" s="2">
        <f>G14+F15</f>
        <v>33024.32</v>
      </c>
    </row>
    <row r="16">
      <c r="A16" s="0" t="inlineStr">
        <is>
          <t xml:space="preserve">2025-07-12</t>
        </is>
      </c>
      <c r="B16" s="0" t="inlineStr">
        <is>
          <t xml:space="preserve">Checking ••6538</t>
        </is>
      </c>
      <c r="C16" s="0" t="inlineStr">
        <is>
          <t xml:space="preserve">ACH / internal</t>
        </is>
      </c>
      <c r="D16" s="0" t="inlineStr">
        <is>
          <t xml:space="preserve">Mercury IO Cashback</t>
        </is>
      </c>
      <c r="F16" s="2">
        <v>3.61</v>
      </c>
      <c r="G16" s="2">
        <f>G15+F16</f>
        <v>33027.93</v>
      </c>
    </row>
    <row r="17">
      <c r="A17" s="0" t="inlineStr">
        <is>
          <t xml:space="preserve">2025-07-17</t>
        </is>
      </c>
      <c r="B17" s="0" t="inlineStr">
        <is>
          <t xml:space="preserve">Checking ••6538</t>
        </is>
      </c>
      <c r="C17" s="0" t="inlineStr">
        <is>
          <t xml:space="preserve">Incoming wire (domestic)</t>
        </is>
      </c>
      <c r="D17" s="0" t="inlineStr">
        <is>
          <t xml:space="preserve">SANITY ADS LIMITED</t>
        </is>
      </c>
      <c r="F17" s="2">
        <v>1380.0</v>
      </c>
      <c r="G17" s="2">
        <f>G16+F17</f>
        <v>34407.93</v>
      </c>
    </row>
    <row r="18">
      <c r="A18" s="1" t="inlineStr">
        <is>
          <t xml:space="preserve">2025-07-31</t>
        </is>
      </c>
      <c r="B18" s="1" t="inlineStr">
        <is>
          <t xml:space="preserve">Checking ••6538</t>
        </is>
      </c>
      <c r="C18" s="1" t="inlineStr">
        <is>
          <t xml:space="preserve">Incoming wire (international)</t>
        </is>
      </c>
      <c r="D18" s="1" t="inlineStr">
        <is>
          <t xml:space="preserve">CLICKSTACK LTD.</t>
        </is>
      </c>
      <c r="E18" s="1" t="inlineStr">
        <is>
          <t xml:space="preserve">VENDOR PAYMENT</t>
        </is>
      </c>
      <c r="F18" s="3">
        <v>750.0</v>
      </c>
      <c r="G18" s="3">
        <f>G17+F18</f>
        <v>35157.93</v>
      </c>
    </row>
    <row r="19">
      <c r="A19" s="0" t="inlineStr">
        <is>
          <t xml:space="preserve">2025-08-04</t>
        </is>
      </c>
      <c r="B19" s="0" t="inlineStr">
        <is>
          <t xml:space="preserve">Checking ••6538</t>
        </is>
      </c>
      <c r="C19" s="0" t="inlineStr">
        <is>
          <t xml:space="preserve">Outgoing payment</t>
        </is>
      </c>
      <c r="D19" s="0" t="inlineStr">
        <is>
          <t xml:space="preserve">Google LLC</t>
        </is>
      </c>
      <c r="E19" s="0" t="inlineStr">
        <is>
          <t xml:space="preserve">Invoice number: 5331260440; Invoice Number - 5331260440 Invoice Date - July 31, 2025 Billing ID - 8327-3971-0682 Account ID  - GCALIT1-4 · your label: Google CL</t>
        </is>
      </c>
      <c r="F19" s="2">
        <v>-6600.54</v>
      </c>
      <c r="G19" s="2">
        <f>G18+F19</f>
        <v>28557.39</v>
      </c>
    </row>
    <row r="20">
      <c r="A20" s="0" t="inlineStr">
        <is>
          <t xml:space="preserve">2025-08-13</t>
        </is>
      </c>
      <c r="B20" s="0" t="inlineStr">
        <is>
          <t xml:space="preserve">Checking ••6538</t>
        </is>
      </c>
      <c r="C20" s="0" t="inlineStr">
        <is>
          <t xml:space="preserve">ACH / internal</t>
        </is>
      </c>
      <c r="D20" s="0" t="inlineStr">
        <is>
          <t xml:space="preserve">GOOGLE</t>
        </is>
      </c>
      <c r="E20" s="0" t="inlineStr">
        <is>
          <t xml:space="preserve">GOOGLE; ACCTVERIFY; GCALIT LLC</t>
        </is>
      </c>
      <c r="F20" s="2">
        <v>0.69</v>
      </c>
      <c r="G20" s="2">
        <f>G19+F20</f>
        <v>28558.08</v>
      </c>
    </row>
    <row r="21">
      <c r="A21" s="0" t="inlineStr">
        <is>
          <t xml:space="preserve">2025-08-22</t>
        </is>
      </c>
      <c r="B21" s="0" t="inlineStr">
        <is>
          <t xml:space="preserve">Checking ••6538</t>
        </is>
      </c>
      <c r="C21" s="0" t="inlineStr">
        <is>
          <t xml:space="preserve">ACH / internal</t>
        </is>
      </c>
      <c r="D21" s="0" t="inlineStr">
        <is>
          <t xml:space="preserve">GOOGLE</t>
        </is>
      </c>
      <c r="E21" s="0" t="inlineStr">
        <is>
          <t xml:space="preserve">GOOGLE; YOUTUBE_PA; GCALIT LLC</t>
        </is>
      </c>
      <c r="F21" s="2">
        <v>182.49</v>
      </c>
      <c r="G21" s="2">
        <f>G20+F21</f>
        <v>28740.57</v>
      </c>
    </row>
    <row r="22">
      <c r="A22" s="0" t="inlineStr">
        <is>
          <t xml:space="preserve">2025-08-27</t>
        </is>
      </c>
      <c r="B22" s="0" t="inlineStr">
        <is>
          <t xml:space="preserve">Checking ••6538</t>
        </is>
      </c>
      <c r="C22" s="0" t="inlineStr">
        <is>
          <t xml:space="preserve">Incoming wire (domestic)</t>
        </is>
      </c>
      <c r="D22" s="0" t="inlineStr">
        <is>
          <t xml:space="preserve">BLUE WAVE ADS LIMITED ZHONG GUO NEI</t>
        </is>
      </c>
      <c r="F22" s="2">
        <v>1960.0</v>
      </c>
      <c r="G22" s="2">
        <f>G21+F22</f>
        <v>30700.57</v>
      </c>
    </row>
    <row r="23">
      <c r="A23" s="0" t="inlineStr">
        <is>
          <t xml:space="preserve">2025-09-03</t>
        </is>
      </c>
      <c r="B23" s="0" t="inlineStr">
        <is>
          <t xml:space="preserve">Checking ••6538</t>
        </is>
      </c>
      <c r="C23" s="0" t="inlineStr">
        <is>
          <t xml:space="preserve">Incoming wire (domestic)</t>
        </is>
      </c>
      <c r="D23" s="0" t="inlineStr">
        <is>
          <t xml:space="preserve">SANITY ADS LIMITED</t>
        </is>
      </c>
      <c r="F23" s="2">
        <v>1220.0</v>
      </c>
      <c r="G23" s="2">
        <f>G22+F23</f>
        <v>31920.57</v>
      </c>
    </row>
    <row r="24">
      <c r="A24" s="0" t="inlineStr">
        <is>
          <t xml:space="preserve">2025-09-03</t>
        </is>
      </c>
      <c r="B24" s="0" t="inlineStr">
        <is>
          <t xml:space="preserve">Checking ••6538</t>
        </is>
      </c>
      <c r="C24" s="0" t="inlineStr">
        <is>
          <t xml:space="preserve">Outgoing payment</t>
        </is>
      </c>
      <c r="D24" s="0" t="inlineStr">
        <is>
          <t xml:space="preserve">Google LLC</t>
        </is>
      </c>
      <c r="E24" s="0" t="inlineStr">
        <is>
          <t xml:space="preserve">AUG 31,2025 -5353915159; Vendor: Invoice Number - 5353915159 Invoice Date - Aug 31, 2025 Billing ID - 8327-3971-0682 Account ID  - GCALIT1-6 · your label: Google CL</t>
        </is>
      </c>
      <c r="F24" s="2">
        <v>-2359.96</v>
      </c>
      <c r="G24" s="2">
        <f>G23+F24</f>
        <v>29560.61</v>
      </c>
    </row>
    <row r="25">
      <c r="A25" s="0" t="inlineStr">
        <is>
          <t xml:space="preserve">2025-09-10</t>
        </is>
      </c>
      <c r="B25" s="0" t="inlineStr">
        <is>
          <t xml:space="preserve">Checking ••6538</t>
        </is>
      </c>
      <c r="C25" s="0" t="inlineStr">
        <is>
          <t xml:space="preserve">Incoming wire (domestic)</t>
        </is>
      </c>
      <c r="D25" s="0" t="inlineStr">
        <is>
          <t xml:space="preserve">BLITZADS LIMITED</t>
        </is>
      </c>
      <c r="F25" s="2">
        <v>2335.0</v>
      </c>
      <c r="G25" s="2">
        <f>G24+F25</f>
        <v>31895.61</v>
      </c>
    </row>
    <row r="26">
      <c r="A26" s="0" t="inlineStr">
        <is>
          <t xml:space="preserve">2025-09-17</t>
        </is>
      </c>
      <c r="B26" s="0" t="inlineStr">
        <is>
          <t xml:space="preserve">Checking ••6538</t>
        </is>
      </c>
      <c r="C26" s="0" t="inlineStr">
        <is>
          <t xml:space="preserve">Incoming wire (domestic)</t>
        </is>
      </c>
      <c r="D26" s="0" t="inlineStr">
        <is>
          <t xml:space="preserve">SANITY ADS LIMITED</t>
        </is>
      </c>
      <c r="F26" s="2">
        <v>2215.0</v>
      </c>
      <c r="G26" s="2">
        <f>G25+F26</f>
        <v>34110.61</v>
      </c>
    </row>
    <row r="27">
      <c r="A27" s="0" t="inlineStr">
        <is>
          <t xml:space="preserve">2025-09-22</t>
        </is>
      </c>
      <c r="B27" s="0" t="inlineStr">
        <is>
          <t xml:space="preserve">Checking ••6538</t>
        </is>
      </c>
      <c r="C27" s="0" t="inlineStr">
        <is>
          <t xml:space="preserve">ACH / internal</t>
        </is>
      </c>
      <c r="D27" s="0" t="inlineStr">
        <is>
          <t xml:space="preserve">GOOGLE</t>
        </is>
      </c>
      <c r="E27" s="0" t="inlineStr">
        <is>
          <t xml:space="preserve">GOOGLE; YOUTUBE_PA; GCALIT LLC</t>
        </is>
      </c>
      <c r="F27" s="2">
        <v>138.02</v>
      </c>
      <c r="G27" s="2">
        <f>G26+F27</f>
        <v>34248.63</v>
      </c>
    </row>
    <row r="28">
      <c r="A28" s="0" t="inlineStr">
        <is>
          <t xml:space="preserve">2025-10-03</t>
        </is>
      </c>
      <c r="B28" s="0" t="inlineStr">
        <is>
          <t xml:space="preserve">Checking ••6538</t>
        </is>
      </c>
      <c r="C28" s="0" t="inlineStr">
        <is>
          <t xml:space="preserve">Outgoing payment</t>
        </is>
      </c>
      <c r="D28" s="0" t="inlineStr">
        <is>
          <t xml:space="preserve">Google LLC</t>
        </is>
      </c>
      <c r="E28" s="0" t="inlineStr">
        <is>
          <t xml:space="preserve">For 5377217442 Sept; Vendor: Invoice Number - 5377217442 Invoice Date - Sep 30, 2025 Billing ID - 8327-3971-0682 Account ID  - GCALIT2,3,4,6 · your label: Google CL</t>
        </is>
      </c>
      <c r="F28" s="2">
        <v>-3774.6</v>
      </c>
      <c r="G28" s="2">
        <f>G27+F28</f>
        <v>30474.03</v>
      </c>
    </row>
    <row r="29">
      <c r="A29" s="0" t="inlineStr">
        <is>
          <t xml:space="preserve">2025-10-21</t>
        </is>
      </c>
      <c r="B29" s="0" t="inlineStr">
        <is>
          <t xml:space="preserve">Checking ••6538</t>
        </is>
      </c>
      <c r="C29" s="0" t="inlineStr">
        <is>
          <t xml:space="preserve">ACH / internal</t>
        </is>
      </c>
      <c r="D29" s="0" t="inlineStr">
        <is>
          <t xml:space="preserve">GOOGLE</t>
        </is>
      </c>
      <c r="E29" s="0" t="inlineStr">
        <is>
          <t xml:space="preserve">GOOGLE; YOUTUBE_PA; GCALIT LLC</t>
        </is>
      </c>
      <c r="F29" s="2">
        <v>141.39</v>
      </c>
      <c r="G29" s="2">
        <f>G28+F29</f>
        <v>30615.42</v>
      </c>
    </row>
    <row r="30">
      <c r="A30" s="0" t="inlineStr">
        <is>
          <t xml:space="preserve">2025-11-12</t>
        </is>
      </c>
      <c r="B30" s="0" t="inlineStr">
        <is>
          <t xml:space="preserve">Checking ••6538</t>
        </is>
      </c>
      <c r="C30" s="0" t="inlineStr">
        <is>
          <t xml:space="preserve">Sent to card</t>
        </is>
      </c>
      <c r="D30" s="0" t="inlineStr">
        <is>
          <t xml:space="preserve">Mercury Credit</t>
        </is>
      </c>
      <c r="E30" s="0" t="inlineStr">
        <is>
          <t xml:space="preserve">IO AUTOPAY</t>
        </is>
      </c>
      <c r="F30" s="2">
        <v>-80.9</v>
      </c>
      <c r="G30" s="2">
        <f>G29+F30</f>
        <v>30534.52</v>
      </c>
    </row>
    <row r="31">
      <c r="A31" s="0" t="inlineStr">
        <is>
          <t xml:space="preserve">2025-11-12</t>
        </is>
      </c>
      <c r="B31" s="0" t="inlineStr">
        <is>
          <t xml:space="preserve">Checking ••6538</t>
        </is>
      </c>
      <c r="C31" s="0" t="inlineStr">
        <is>
          <t xml:space="preserve">ACH / internal</t>
        </is>
      </c>
      <c r="D31" s="0" t="inlineStr">
        <is>
          <t xml:space="preserve">Mercury IO Cashback</t>
        </is>
      </c>
      <c r="F31" s="2">
        <v>1.21</v>
      </c>
      <c r="G31" s="2">
        <f>G30+F31</f>
        <v>30535.73</v>
      </c>
    </row>
    <row r="32">
      <c r="A32" s="0" t="inlineStr">
        <is>
          <t xml:space="preserve">2025-11-21</t>
        </is>
      </c>
      <c r="B32" s="0" t="inlineStr">
        <is>
          <t xml:space="preserve">Checking ••6538</t>
        </is>
      </c>
      <c r="C32" s="0" t="inlineStr">
        <is>
          <t xml:space="preserve">ACH / internal</t>
        </is>
      </c>
      <c r="D32" s="0" t="inlineStr">
        <is>
          <t xml:space="preserve">GOOGLE</t>
        </is>
      </c>
      <c r="E32" s="0" t="inlineStr">
        <is>
          <t xml:space="preserve">GOOGLE; YOUTUBE_PA; GCALIT LLC</t>
        </is>
      </c>
      <c r="F32" s="2">
        <v>177.84</v>
      </c>
      <c r="G32" s="2">
        <f>G31+F32</f>
        <v>30713.57</v>
      </c>
    </row>
    <row r="33">
      <c r="A33" s="0" t="inlineStr">
        <is>
          <t xml:space="preserve">2025-12-02</t>
        </is>
      </c>
      <c r="B33" s="0" t="inlineStr">
        <is>
          <t xml:space="preserve">Checking ••6538</t>
        </is>
      </c>
      <c r="C33" s="0" t="inlineStr">
        <is>
          <t xml:space="preserve">Outgoing payment</t>
        </is>
      </c>
      <c r="D33" s="0" t="inlineStr">
        <is>
          <t xml:space="preserve">Google LLC</t>
        </is>
      </c>
      <c r="E33" s="0" t="inlineStr">
        <is>
          <t xml:space="preserve">via mercury.com; Vendor: Invoice Number - 5430635554 Invoice Date - Nov 30, 2025 Billing ID - 8327-3971-0682 Account ID  - GCALIT7 · your label: Google CL</t>
        </is>
      </c>
      <c r="F33" s="2">
        <v>-93.06</v>
      </c>
      <c r="G33" s="2">
        <f>G32+F33</f>
        <v>30620.51</v>
      </c>
    </row>
    <row r="34">
      <c r="A34" s="0" t="inlineStr">
        <is>
          <t xml:space="preserve">2025-12-31</t>
        </is>
      </c>
      <c r="B34" s="0" t="inlineStr">
        <is>
          <t xml:space="preserve">Checking ••6538</t>
        </is>
      </c>
      <c r="C34" s="0" t="inlineStr">
        <is>
          <t xml:space="preserve">Incoming wire (domestic)</t>
        </is>
      </c>
      <c r="D34" s="0" t="inlineStr">
        <is>
          <t xml:space="preserve">BLITZADS LIMITED</t>
        </is>
      </c>
      <c r="F34" s="2">
        <v>1500.0</v>
      </c>
      <c r="G34" s="2">
        <f>G33+F34</f>
        <v>32120.51</v>
      </c>
    </row>
  </sheetData>
</worksheet>
</file>

<file path=xl/worksheets/sheet6.xml><?xml version="1.0" encoding="utf-8"?>
<worksheet xmlns="http://schemas.openxmlformats.org/spreadsheetml/2006/main">
  <cols>
    <col min="1" max="1" width="14.86" customWidth="1"/>
    <col min="2" max="2" width="62.16" customWidth="1"/>
    <col min="3" max="3" width="56.76" customWidth="1"/>
    <col min="4" max="4" width="20.27" customWidth="1"/>
    <col min="5" max="5" width="18.92" customWidth="1"/>
  </cols>
  <sheetData>
    <row r="1">
      <c r="A1" s="1" t="inlineStr">
        <is>
          <t xml:space="preserve">Posted</t>
        </is>
      </c>
      <c r="B1" s="1" t="inlineStr">
        <is>
          <t xml:space="preserve">Merchant / counterparty</t>
        </is>
      </c>
      <c r="C1" s="1" t="inlineStr">
        <is>
          <t xml:space="preserve">Description</t>
        </is>
      </c>
      <c r="D1" s="1" t="inlineStr">
        <is>
          <t xml:space="preserve">Type</t>
        </is>
      </c>
      <c r="E1" s="1" t="inlineStr">
        <is>
          <t xml:space="preserve">Amount (USD)</t>
        </is>
      </c>
    </row>
    <row r="2">
      <c r="A2" s="0" t="inlineStr">
        <is>
          <t xml:space="preserve">2025-07-02</t>
        </is>
      </c>
      <c r="B2" s="0" t="inlineStr">
        <is>
          <t xml:space="preserve">Cs* Wyomingllcattorney</t>
        </is>
      </c>
      <c r="C2" s="0" t="inlineStr">
        <is>
          <t xml:space="preserve">CS* WYOMINGLLCATTORNEY</t>
        </is>
      </c>
      <c r="D2" s="0" t="inlineStr">
        <is>
          <t xml:space="preserve">Spend</t>
        </is>
      </c>
      <c r="E2" s="2">
        <v>-179.0</v>
      </c>
    </row>
    <row r="3">
      <c r="A3" s="0" t="inlineStr">
        <is>
          <t xml:space="preserve">2025-07-02</t>
        </is>
      </c>
      <c r="B3" s="0" t="inlineStr">
        <is>
          <t xml:space="preserve">Cs* State of Wyoming</t>
        </is>
      </c>
      <c r="C3" s="0" t="inlineStr">
        <is>
          <t xml:space="preserve">CS* STATE OF WYOMING</t>
        </is>
      </c>
      <c r="D3" s="0" t="inlineStr">
        <is>
          <t xml:space="preserve">Spend</t>
        </is>
      </c>
      <c r="E3" s="2">
        <v>-62.25</v>
      </c>
    </row>
    <row r="4">
      <c r="A4" s="0" t="inlineStr">
        <is>
          <t xml:space="preserve">2025-07-12</t>
        </is>
      </c>
      <c r="B4" s="0" t="inlineStr">
        <is>
          <t xml:space="preserve">Mercury Checking ••6538</t>
        </is>
      </c>
      <c r="C4" s="0" t="inlineStr">
        <is>
          <t xml:space="preserve">IO AUTOPAY</t>
        </is>
      </c>
      <c r="D4" s="0" t="inlineStr">
        <is>
          <t xml:space="preserve">Payment received from the bank</t>
        </is>
      </c>
      <c r="E4" s="2">
        <v>241.25</v>
      </c>
    </row>
    <row r="5">
      <c r="A5" s="0" t="inlineStr">
        <is>
          <t xml:space="preserve">2025-10-16</t>
        </is>
      </c>
      <c r="B5" s="0" t="inlineStr">
        <is>
          <t xml:space="preserve">Namecheap</t>
        </is>
      </c>
      <c r="C5" s="0" t="inlineStr">
        <is>
          <t xml:space="preserve">NAME-CHEAP.COM* MRTUUU</t>
        </is>
      </c>
      <c r="D5" s="0" t="inlineStr">
        <is>
          <t xml:space="preserve">Spend</t>
        </is>
      </c>
      <c r="E5" s="2">
        <v>-80.9</v>
      </c>
    </row>
    <row r="6">
      <c r="A6" s="0" t="inlineStr">
        <is>
          <t xml:space="preserve">2025-11-12</t>
        </is>
      </c>
      <c r="B6" s="0" t="inlineStr">
        <is>
          <t xml:space="preserve">Mercury Checking ••6538</t>
        </is>
      </c>
      <c r="C6" s="0" t="inlineStr">
        <is>
          <t xml:space="preserve">IO AUTOPAY</t>
        </is>
      </c>
      <c r="D6" s="0" t="inlineStr">
        <is>
          <t xml:space="preserve">Payment received from the bank</t>
        </is>
      </c>
      <c r="E6" s="2">
        <v>80.9</v>
      </c>
    </row>
    <row r="7"/>
    <row r="8">
      <c r="A8" s="1" t="inlineStr">
        <is>
          <t xml:space="preserve">TOTAL CARD SPEND</t>
        </is>
      </c>
      <c r="B8" s="1" t="inlineStr">
        <is>
          <t xml:space="preserve">Purchases charged to the card during 2025</t>
        </is>
      </c>
      <c r="E8" s="3">
        <v>-322.15</v>
      </c>
    </row>
    <row r="9">
      <c r="A9" s="0" t="inlineStr">
        <is>
          <t xml:space="preserve">TOTAL REFUNDS</t>
        </is>
      </c>
      <c r="B9" s="0" t="inlineStr">
        <is>
          <t xml:space="preserve">Merchant refunds credited back to the card</t>
        </is>
      </c>
      <c r="E9" s="2">
        <v>0.0</v>
      </c>
    </row>
    <row r="10">
      <c r="A10" s="0" t="inlineStr">
        <is>
          <t xml:space="preserve">PAID OFF FROM THE BANK ACCOUNT</t>
        </is>
      </c>
      <c r="B10" s="0" t="inlineStr">
        <is>
          <t xml:space="preserve">Mirrors the 'Sent to card' rows on the bank ledger</t>
        </is>
      </c>
      <c r="E10" s="2">
        <v>322.15</v>
      </c>
    </row>
    <row r="11">
      <c r="A11" s="1" t="inlineStr">
        <is>
          <t xml:space="preserve">CARD BALANCE OWED, 31 DECEMBER 2025</t>
        </is>
      </c>
      <c r="B11" s="1" t="inlineStr">
        <is>
          <t xml:space="preserve">Spend less refunds less payments</t>
        </is>
      </c>
      <c r="E11" s="3">
        <f>E8+E9+E10</f>
        <v>0.0</v>
      </c>
    </row>
    <row r="12"/>
    <row r="13">
      <c r="A13" s="0" t="inlineStr">
        <is>
          <t xml:space="preserve">Card liability, 1 January 2025</t>
        </is>
      </c>
      <c r="B13" s="0" t="inlineStr">
        <is>
          <t xml:space="preserve">Account opened 2025-05-11, after the year began, so nothing could be owed on 1 January</t>
        </is>
      </c>
      <c r="E13" s="2">
        <v>0.0</v>
      </c>
    </row>
    <row r="14">
      <c r="A14" s="0" t="inlineStr">
        <is>
          <t xml:space="preserve">Card liability, 31 December 2025</t>
        </is>
      </c>
      <c r="B14" s="0" t="inlineStr">
        <is>
          <t xml:space="preserve">Every 2025 charge was paid off, so cash and accrual agree this year. Point-in-time: the next charge landed days into 2026.</t>
        </is>
      </c>
      <c r="E14" s="2">
        <v>0.0</v>
      </c>
    </row>
  </sheetData>
</worksheet>
</file>

<file path=xl/worksheets/sheet7.xml><?xml version="1.0" encoding="utf-8"?>
<worksheet xmlns="http://schemas.openxmlformats.org/spreadsheetml/2006/main">
  <cols>
    <col min="1" max="1" width="22.97" customWidth="1"/>
    <col min="2" max="2" width="62.16" customWidth="1"/>
    <col min="3" max="3" width="18.92" customWidth="1"/>
    <col min="4" max="4" width="18.92" customWidth="1"/>
    <col min="5" max="5" width="18.92" customWidth="1"/>
    <col min="6" max="6" width="22.97" customWidth="1"/>
  </cols>
  <sheetData>
    <row r="1">
      <c r="A1" s="1" t="inlineStr">
        <is>
          <t xml:space="preserve">Route</t>
        </is>
      </c>
      <c r="B1" s="1" t="inlineStr">
        <is>
          <t xml:space="preserve">How it is derived</t>
        </is>
      </c>
      <c r="C1" s="1" t="inlineStr">
        <is>
          <t xml:space="preserve">Result</t>
        </is>
      </c>
      <c r="D1" s="1" t="inlineStr">
        <is>
          <t xml:space="preserve">Expected</t>
        </is>
      </c>
      <c r="E1" s="1" t="inlineStr">
        <is>
          <t xml:space="preserve">Difference</t>
        </is>
      </c>
      <c r="F1" s="1" t="inlineStr">
        <is>
          <t xml:space="preserve">Verdict</t>
        </is>
      </c>
    </row>
    <row r="2">
      <c r="A2" s="0" t="inlineStr">
        <is>
          <t xml:space="preserve">A — Statement</t>
        </is>
      </c>
      <c r="B2" s="0" t="inlineStr">
        <is>
          <t xml:space="preserve">Mercury's statement for 01–31 December 2024, ending balance</t>
        </is>
      </c>
      <c r="C2" s="2">
        <v>11053.84</v>
      </c>
      <c r="D2" s="2">
        <v>11053.84</v>
      </c>
      <c r="E2" s="2">
        <v>0.0</v>
      </c>
      <c r="F2" s="0" t="inlineStr">
        <is>
          <t xml:space="preserve">AUTHORITY (opening)</t>
        </is>
      </c>
    </row>
    <row r="3">
      <c r="A3" s="0" t="inlineStr">
        <is>
          <t xml:space="preserve">B — Statement</t>
        </is>
      </c>
      <c r="B3" s="0" t="inlineStr">
        <is>
          <t xml:space="preserve">Mercury's statement for 01–31 December 2025, ending balance</t>
        </is>
      </c>
      <c r="C3" s="2">
        <v>32120.51</v>
      </c>
      <c r="D3" s="2">
        <v>32120.51</v>
      </c>
      <c r="E3" s="2">
        <v>0.0</v>
      </c>
      <c r="F3" s="0" t="inlineStr">
        <is>
          <t xml:space="preserve">AUTHORITY (closing)</t>
        </is>
      </c>
    </row>
    <row r="4">
      <c r="A4" s="0" t="inlineStr">
        <is>
          <t xml:space="preserve">C — Back-computed</t>
        </is>
      </c>
      <c r="B4" s="0" t="inlineStr">
        <is>
          <t xml:space="preserve">Live balance today less every transaction posted after 31 December 2025</t>
        </is>
      </c>
      <c r="C4" s="2">
        <v>32120.51</v>
      </c>
      <c r="D4" s="2">
        <v>32120.51</v>
      </c>
      <c r="E4" s="2">
        <v>0.0</v>
      </c>
      <c r="F4" s="0" t="inlineStr">
        <is>
          <t xml:space="preserve">MATCH</t>
        </is>
      </c>
    </row>
    <row r="5">
      <c r="A5" s="0" t="inlineStr">
        <is>
          <t xml:space="preserve">D — Forward</t>
        </is>
      </c>
      <c r="B5" s="0" t="inlineStr">
        <is>
          <t xml:space="preserve">Opening balance plus every transaction posted inside 2025</t>
        </is>
      </c>
      <c r="C5" s="2">
        <v>32120.51</v>
      </c>
      <c r="D5" s="2">
        <v>32120.51</v>
      </c>
      <c r="E5" s="2">
        <v>0.0</v>
      </c>
      <c r="F5" s="0" t="inlineStr">
        <is>
          <t xml:space="preserve">MATCH</t>
        </is>
      </c>
    </row>
    <row r="6">
      <c r="A6" s="0" t="inlineStr">
        <is>
          <t xml:space="preserve">E — From account opening</t>
        </is>
      </c>
      <c r="B6" s="0" t="inlineStr">
        <is>
          <t xml:space="preserve">Every transaction from the day the account opened to 31 December 2024</t>
        </is>
      </c>
      <c r="C6" s="2">
        <v>11053.84</v>
      </c>
      <c r="D6" s="2">
        <v>11053.84</v>
      </c>
      <c r="E6" s="2">
        <v>0.0</v>
      </c>
      <c r="F6" s="0" t="inlineStr">
        <is>
          <t xml:space="preserve">MATCH</t>
        </is>
      </c>
    </row>
    <row r="7">
      <c r="A7" s="0" t="inlineStr">
        <is>
          <t xml:space="preserve">F — Monthly</t>
        </is>
      </c>
      <c r="B7" s="0" t="inlineStr">
        <is>
          <t xml:space="preserve">Each of the 12 months against its own statement</t>
        </is>
      </c>
      <c r="F7" s="0" t="inlineStr">
        <is>
          <t xml:space="preserve">12 of 12 MATCH</t>
        </is>
      </c>
    </row>
    <row r="8">
      <c r="A8" s="0" t="inlineStr">
        <is>
          <t xml:space="preserve">G — Peak, second route</t>
        </is>
      </c>
      <c r="B8" s="0" t="inlineStr">
        <is>
          <t xml:space="preserve">Peak recomputed as a day-cut sum rather than a running total</t>
        </is>
      </c>
      <c r="C8" s="2">
        <v>35157.93</v>
      </c>
      <c r="D8" s="2">
        <v>35157.93</v>
      </c>
      <c r="E8" s="2">
        <v>0.0</v>
      </c>
      <c r="F8" s="0" t="inlineStr">
        <is>
          <t xml:space="preserve">MATCH</t>
        </is>
      </c>
    </row>
    <row r="9"/>
    <row r="10">
      <c r="A10" s="1" t="inlineStr">
        <is>
          <t xml:space="preserve">EVIDENCE</t>
        </is>
      </c>
      <c r="B10" s="1" t="inlineStr">
        <is>
          <t xml:space="preserve">Each line below is computed from the raw Mercury data, not asserted</t>
        </is>
      </c>
    </row>
    <row r="11">
      <c r="A11" s="0" t="inlineStr">
        <is>
          <t xml:space="preserve">Statement / ledger bijection</t>
        </is>
      </c>
      <c r="B11" s="0" t="inlineStr">
        <is>
          <t xml:space="preserve">Transaction ids named on Mercury's 2025 statements against the ids in our pull</t>
        </is>
      </c>
      <c r="F11" s="0" t="inlineStr">
        <is>
          <t xml:space="preserve">33 ↔ 33 — 0 missing, 0 orphan</t>
        </is>
      </c>
    </row>
    <row r="12">
      <c r="A12" s="0" t="inlineStr">
        <is>
          <t xml:space="preserve">createdAt vs postedAt</t>
        </is>
      </c>
      <c r="B12" s="0" t="inlineStr">
        <is>
          <t xml:space="preserve">The trap that puts a transaction in the wrong year — tested directly, not by comparing two pulls</t>
        </is>
      </c>
      <c r="F12" s="0" t="inlineStr">
        <is>
          <t xml:space="preserve">0 straddle the year, 5 straddle a day</t>
        </is>
      </c>
    </row>
    <row r="13">
      <c r="A13" s="0" t="inlineStr">
        <is>
          <t xml:space="preserve">Rows dropped from the year</t>
        </is>
      </c>
      <c r="B13" s="0" t="inlineStr">
        <is>
          <t xml:space="preserve">Rows excluded because they failed or never posted</t>
        </is>
      </c>
      <c r="F13" s="0" t="inlineStr">
        <is>
          <t xml:space="preserve">NONE — all 38 rows posted</t>
        </is>
      </c>
    </row>
    <row r="14">
      <c r="A14" s="0" t="inlineStr">
        <is>
          <t xml:space="preserve">Savings ••7355</t>
        </is>
      </c>
      <c r="B14" s="0" t="inlineStr">
        <is>
          <t xml:space="preserve">Every one of its 12 statement ending balances in 2025</t>
        </is>
      </c>
      <c r="C14" s="2">
        <v>0.0</v>
      </c>
      <c r="D14" s="2">
        <v>0.0</v>
      </c>
      <c r="E14" s="2">
        <v>0.0</v>
      </c>
      <c r="F14" s="0" t="inlineStr">
        <is>
          <t xml:space="preserve">ZERO ALL YEAR — no transactions</t>
        </is>
      </c>
    </row>
    <row r="15">
      <c r="A15" s="0" t="inlineStr">
        <is>
          <t xml:space="preserve">Card payments mirrored</t>
        </is>
      </c>
      <c r="B15" s="0" t="inlineStr">
        <is>
          <t xml:space="preserve">Each 'Sent to card' row on the bank matched to its credit on the card ledger</t>
        </is>
      </c>
      <c r="F15" s="0" t="inlineStr">
        <is>
          <t xml:space="preserve">2 of 2 PAIRED</t>
        </is>
      </c>
    </row>
    <row r="16">
      <c r="A16" s="0" t="inlineStr">
        <is>
          <t xml:space="preserve">Money-out split</t>
        </is>
      </c>
      <c r="B16" s="0" t="inlineStr">
        <is>
          <t xml:space="preserve">Expenses plus sent-to-card must equal the total, not undercut it</t>
        </is>
      </c>
      <c r="C16" s="2">
        <v>-15663.38</v>
      </c>
      <c r="D16" s="2">
        <v>-15663.38</v>
      </c>
      <c r="E16" s="2">
        <v>0.0</v>
      </c>
      <c r="F16" s="0" t="inlineStr">
        <is>
          <t xml:space="preserve">MATCH</t>
        </is>
      </c>
    </row>
    <row r="17">
      <c r="A17" s="0" t="inlineStr">
        <is>
          <t xml:space="preserve">Peak sits inside the year</t>
        </is>
      </c>
      <c r="B17" s="0" t="inlineStr">
        <is>
          <t xml:space="preserve">The peak must be at least the opening and at least the closing</t>
        </is>
      </c>
      <c r="C17" s="2">
        <v>35157.93</v>
      </c>
      <c r="D17" s="2">
        <v>32120.51</v>
      </c>
      <c r="E17" s="2">
        <v>3037.42</v>
      </c>
      <c r="F17" s="0" t="inlineStr">
        <is>
          <t xml:space="preserve">MATCH</t>
        </is>
      </c>
    </row>
    <row r="18">
      <c r="A18" s="0" t="inlineStr">
        <is>
          <t xml:space="preserve">Year-boundary margin, opening</t>
        </is>
      </c>
      <c r="B18" s="0" t="inlineStr">
        <is>
          <t xml:space="preserve">Hours to the nearest transaction either side of 1 Jan 2025</t>
        </is>
      </c>
      <c r="F18" s="0" t="inlineStr">
        <is>
          <t xml:space="preserve">163.57 hours</t>
        </is>
      </c>
    </row>
    <row r="19">
      <c r="A19" s="0" t="inlineStr">
        <is>
          <t xml:space="preserve">Year-boundary margin, closing</t>
        </is>
      </c>
      <c r="B19" s="0" t="inlineStr">
        <is>
          <t xml:space="preserve">Hours to the nearest transaction either side of 1 Jan 2026</t>
        </is>
      </c>
      <c r="F19" s="0" t="inlineStr">
        <is>
          <t xml:space="preserve">12.01 hours — wider than any timezone</t>
        </is>
      </c>
    </row>
    <row r="20"/>
    <row r="21">
      <c r="A21" s="1" t="inlineStr">
        <is>
          <t xml:space="preserve">NOTED, NOT RESOLVED</t>
        </is>
      </c>
    </row>
    <row r="22">
      <c r="A22" s="0" t="inlineStr">
        <is>
          <t xml:space="preserve">The peak DATE is clock-sensitive</t>
        </is>
      </c>
      <c r="B22" s="0" t="inlineStr">
        <is>
          <t xml:space="preserve">The credit that set it posted 2.03 h before midnight UTC. The amount is clock-independent; on IST (+5:30) the date reads 1 August.</t>
        </is>
      </c>
      <c r="F22" s="0" t="inlineStr">
        <is>
          <t xml:space="preserve">31 July is the bank's own UTC basis</t>
        </is>
      </c>
    </row>
    <row r="23">
      <c r="A23" s="0" t="inlineStr">
        <is>
          <t xml:space="preserve">Peak is an end-of-day figure</t>
        </is>
      </c>
      <c r="B23" s="0" t="inlineStr">
        <is>
          <t xml:space="preserve">A bank reports at each day's close. The intra-day high in Mercury's posting order is the same $35,157.93.</t>
        </is>
      </c>
      <c r="F23" s="0" t="inlineStr">
        <is>
          <t xml:space="preserve">changes nothing this year</t>
        </is>
      </c>
    </row>
    <row r="24">
      <c r="A24" s="0" t="inlineStr">
        <is>
          <t xml:space="preserve">'Sent to card' is not card spend</t>
        </is>
      </c>
      <c r="B24" s="0" t="inlineStr">
        <is>
          <t xml:space="preserve">Cash moved to settle the card, versus what the card bought. Equal this year only because the card was cleared in-year.</t>
        </is>
      </c>
      <c r="F24" s="0" t="inlineStr">
        <is>
          <t xml:space="preserve">see 'Total expense incurred', Summary</t>
        </is>
      </c>
    </row>
    <row r="25">
      <c r="A25" s="0" t="inlineStr">
        <is>
          <t xml:space="preserve">Credit account has no statements</t>
        </is>
      </c>
      <c r="B25" s="0" t="inlineStr">
        <is>
          <t xml:space="preserve">Mercury issues statements for the two bank accounts only; the card ledger rests on the mirrored payments and its zero balance.</t>
        </is>
      </c>
      <c r="F25" s="0" t="inlineStr">
        <is>
          <t xml:space="preserve">open</t>
        </is>
      </c>
    </row>
  </sheetData>
</worksheet>
</file>

<file path=xl/worksheets/sheet8.xml><?xml version="1.0" encoding="utf-8"?>
<worksheet xmlns="http://schemas.openxmlformats.org/spreadsheetml/2006/main">
  <cols>
    <col min="1" max="1" width="22.97" customWidth="1"/>
    <col min="2" max="2" width="20.27" customWidth="1"/>
    <col min="3" max="3" width="14.86" customWidth="1"/>
    <col min="4" max="4" width="18.92" customWidth="1"/>
    <col min="5" max="5" width="18.92" customWidth="1"/>
    <col min="6" max="6" width="18.92" customWidth="1"/>
    <col min="7" max="7" width="18.92" customWidth="1"/>
  </cols>
  <sheetData>
    <row r="1">
      <c r="A1" s="1" t="inlineStr">
        <is>
          <t xml:space="preserve">Account</t>
        </is>
      </c>
      <c r="B1" s="1" t="inlineStr">
        <is>
          <t xml:space="preserve">Kind</t>
        </is>
      </c>
      <c r="C1" s="1" t="inlineStr">
        <is>
          <t xml:space="preserve">Opened</t>
        </is>
      </c>
      <c r="D1" s="1" t="inlineStr">
        <is>
          <t xml:space="preserve">Opening 1 Jan 2025</t>
        </is>
      </c>
      <c r="E1" s="1" t="inlineStr">
        <is>
          <t xml:space="preserve">Closing 31 Dec 2025</t>
        </is>
      </c>
      <c r="F1" s="1" t="inlineStr">
        <is>
          <t xml:space="preserve">Change</t>
        </is>
      </c>
      <c r="G1" s="1" t="inlineStr">
        <is>
          <t xml:space="preserve">Balance today</t>
        </is>
      </c>
    </row>
    <row r="2">
      <c r="A2" s="0" t="inlineStr">
        <is>
          <t xml:space="preserve">Mercury Checking ••6538</t>
        </is>
      </c>
      <c r="B2" s="0" t="inlineStr">
        <is>
          <t xml:space="preserve">checking</t>
        </is>
      </c>
      <c r="C2" s="0" t="inlineStr">
        <is>
          <t xml:space="preserve">2024-08-07</t>
        </is>
      </c>
      <c r="D2" s="2">
        <v>11053.84</v>
      </c>
      <c r="E2" s="2">
        <v>32120.51</v>
      </c>
      <c r="F2" s="2">
        <v>21066.67</v>
      </c>
      <c r="G2" s="2">
        <v>35322.1</v>
      </c>
    </row>
    <row r="3">
      <c r="A3" s="0" t="inlineStr">
        <is>
          <t xml:space="preserve">Mercury Savings ••7355</t>
        </is>
      </c>
      <c r="B3" s="0" t="inlineStr">
        <is>
          <t xml:space="preserve">savings</t>
        </is>
      </c>
      <c r="C3" s="0" t="inlineStr">
        <is>
          <t xml:space="preserve">2024-08-07</t>
        </is>
      </c>
      <c r="D3" s="2">
        <v>0.0</v>
      </c>
      <c r="E3" s="2">
        <v>0.0</v>
      </c>
      <c r="F3" s="2">
        <v>0.0</v>
      </c>
      <c r="G3" s="2">
        <v>0.0</v>
      </c>
    </row>
    <row r="4">
      <c r="A4" s="0" t="inlineStr">
        <is>
          <t xml:space="preserve">Mercury IO credit card</t>
        </is>
      </c>
      <c r="B4" s="0" t="inlineStr">
        <is>
          <t xml:space="preserve">credit card</t>
        </is>
      </c>
      <c r="C4" s="0" t="inlineStr">
        <is>
          <t xml:space="preserve">2025-05-11</t>
        </is>
      </c>
      <c r="E4" s="2">
        <v>0.0</v>
      </c>
      <c r="G4" s="2">
        <v>0.0</v>
      </c>
    </row>
    <row r="5">
      <c r="B5" s="0" t="inlineStr">
        <is>
          <t xml:space="preserve">did not exist on 1 January 2025 — opened 11 May 2025</t>
        </is>
      </c>
    </row>
    <row r="6"/>
    <row r="7">
      <c r="A7" s="1" t="inlineStr">
        <is>
          <t xml:space="preserve">TOTAL BANK BALANCE</t>
        </is>
      </c>
      <c r="B7" s="1" t="inlineStr">
        <is>
          <t xml:space="preserve">Checking and savings; the card is a liability, not a balance</t>
        </is>
      </c>
      <c r="D7" s="3">
        <f>SUM(D2:D4)</f>
        <v>11053.84</v>
      </c>
      <c r="E7" s="3">
        <f>SUM(E2:E4)</f>
        <v>32120.51</v>
      </c>
      <c r="F7" s="3">
        <f>SUM(F2:F4)</f>
        <v>21066.67</v>
      </c>
      <c r="G7" s="3">
        <f>SUM(G2:G3)</f>
        <v>35322.1</v>
      </c>
    </row>
    <row r="8"/>
    <row r="9">
      <c r="A9" s="0" t="inlineStr">
        <is>
          <t xml:space="preserve">Legal name</t>
        </is>
      </c>
      <c r="B9" s="0" t="inlineStr">
        <is>
          <t xml:space="preserve">GCALIT LLC</t>
        </is>
      </c>
    </row>
    <row r="10">
      <c r="A10" s="0" t="inlineStr">
        <is>
          <t xml:space="preserve">EIN</t>
        </is>
      </c>
      <c r="B10" s="0" t="inlineStr">
        <is>
          <t xml:space="preserve">61-2005202</t>
        </is>
      </c>
    </row>
    <row r="11">
      <c r="A11" s="0" t="inlineStr">
        <is>
          <t xml:space="preserve">Registered address</t>
        </is>
      </c>
      <c r="B11" s="0" t="inlineStr">
        <is>
          <t xml:space="preserve">1309 Coffeen Avenue, Ste 1200, Sheridan WY, 82801</t>
        </is>
      </c>
    </row>
    <row r="12">
      <c r="A12" s="0" t="inlineStr">
        <is>
          <t xml:space="preserve">Routing number</t>
        </is>
      </c>
      <c r="B12" s="0" t="inlineStr">
        <is>
          <t xml:space="preserve">Held by Mercury; deliberately not published on this page</t>
        </is>
      </c>
    </row>
    <row r="13">
      <c r="A13" s="0" t="inlineStr">
        <is>
          <t xml:space="preserve">Data pulled</t>
        </is>
      </c>
      <c r="B13" s="0" t="inlineStr">
        <is>
          <t xml:space="preserve">2026-08-28 from the Mercury API, read-only. All dates UTC.</t>
        </is>
      </c>
    </row>
  </sheetData>
</worksheet>
</file>